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Client Folders\Lena Nazaruk\"/>
    </mc:Choice>
  </mc:AlternateContent>
  <xr:revisionPtr revIDLastSave="0" documentId="8_{BE9BA488-DC40-43A6-908C-2DC3E1209796}" xr6:coauthVersionLast="47" xr6:coauthVersionMax="47" xr10:uidLastSave="{00000000-0000-0000-0000-000000000000}"/>
  <bookViews>
    <workbookView xWindow="1280" yWindow="1250" windowWidth="32910" windowHeight="18510" tabRatio="500" firstSheet="6" activeTab="12" xr2:uid="{00000000-000D-0000-FFFF-FFFF00000000}"/>
  </bookViews>
  <sheets>
    <sheet name="🏠 Cover" sheetId="1" r:id="rId1"/>
    <sheet name="📊 Executive Dashboard" sheetId="2" r:id="rId2"/>
    <sheet name="📊 DSCR Compliance" sheetId="3" r:id="rId3"/>
    <sheet name="🔢 Data Engine" sheetId="4" r:id="rId4"/>
    <sheet name="🏢 Property Metrics" sheetId="5" r:id="rId5"/>
    <sheet name="⚙️ NOI Engine" sheetId="6" r:id="rId6"/>
    <sheet name="📡 Forecasting" sheetId="7" r:id="rId7"/>
    <sheet name="💳 Amortization" sheetId="8" r:id="rId8"/>
    <sheet name="🏗️ Capital Plan" sheetId="9" r:id="rId9"/>
    <sheet name="📋 Assumptions" sheetId="10" r:id="rId10"/>
    <sheet name="💵 Operating Cash Flow" sheetId="11" r:id="rId11"/>
    <sheet name="📥 Data Pulls" sheetId="12" r:id="rId12"/>
    <sheet name="🚀 DISPATCH" sheetId="13" r:id="rId13"/>
  </sheets>
  <calcPr calcId="191029" iterateDelta="1E-4"/>
</workbook>
</file>

<file path=xl/calcChain.xml><?xml version="1.0" encoding="utf-8"?>
<calcChain xmlns="http://schemas.openxmlformats.org/spreadsheetml/2006/main">
  <c r="H48" i="12" l="1"/>
  <c r="F48" i="12"/>
  <c r="E48" i="12"/>
  <c r="H47" i="12"/>
  <c r="F47" i="12"/>
  <c r="E47" i="12"/>
  <c r="H46" i="12"/>
  <c r="F46" i="12"/>
  <c r="E46" i="12"/>
  <c r="H45" i="12"/>
  <c r="F45" i="12"/>
  <c r="E45" i="12"/>
  <c r="H44" i="12"/>
  <c r="F44" i="12"/>
  <c r="E44" i="12"/>
  <c r="J24" i="12"/>
  <c r="G24" i="12"/>
  <c r="I24" i="12" s="1"/>
  <c r="I40" i="5" s="1"/>
  <c r="F24" i="12"/>
  <c r="E24" i="12"/>
  <c r="J23" i="12"/>
  <c r="E23" i="12"/>
  <c r="F23" i="12" s="1"/>
  <c r="J22" i="12"/>
  <c r="E22" i="12"/>
  <c r="J21" i="12"/>
  <c r="E21" i="12"/>
  <c r="F21" i="12" s="1"/>
  <c r="J20" i="12"/>
  <c r="E20" i="12"/>
  <c r="J19" i="12"/>
  <c r="E19" i="12"/>
  <c r="F19" i="12" s="1"/>
  <c r="J18" i="12"/>
  <c r="E18" i="12"/>
  <c r="J17" i="12"/>
  <c r="E17" i="12"/>
  <c r="F17" i="12" s="1"/>
  <c r="J16" i="12"/>
  <c r="E16" i="12"/>
  <c r="J15" i="12"/>
  <c r="E15" i="12"/>
  <c r="F15" i="12" s="1"/>
  <c r="J14" i="12"/>
  <c r="E14" i="12"/>
  <c r="J13" i="12"/>
  <c r="E13" i="12"/>
  <c r="F13" i="12" s="1"/>
  <c r="C9" i="12"/>
  <c r="D4" i="12"/>
  <c r="G22" i="11"/>
  <c r="G21" i="11"/>
  <c r="G20" i="11"/>
  <c r="G19" i="11"/>
  <c r="G17" i="11"/>
  <c r="G16" i="11"/>
  <c r="G14" i="11"/>
  <c r="G13" i="11"/>
  <c r="G12" i="11"/>
  <c r="G11" i="11"/>
  <c r="G10" i="11"/>
  <c r="G9" i="11"/>
  <c r="G8" i="11"/>
  <c r="G7" i="11"/>
  <c r="G6" i="11"/>
  <c r="G18" i="9"/>
  <c r="F18" i="9"/>
  <c r="E18" i="9"/>
  <c r="D18" i="9"/>
  <c r="C18" i="9"/>
  <c r="F15" i="11" s="1"/>
  <c r="H16" i="9"/>
  <c r="H15" i="9"/>
  <c r="H14" i="9"/>
  <c r="H13" i="9"/>
  <c r="H12" i="9"/>
  <c r="H11" i="9"/>
  <c r="H10" i="9"/>
  <c r="H9" i="9"/>
  <c r="H8" i="9"/>
  <c r="H7" i="9"/>
  <c r="H18" i="9" s="1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F11" i="8"/>
  <c r="D72" i="8" s="1"/>
  <c r="F8" i="8"/>
  <c r="F7" i="8"/>
  <c r="F6" i="8"/>
  <c r="F16" i="8" s="1"/>
  <c r="C23" i="7"/>
  <c r="D23" i="7" s="1"/>
  <c r="E23" i="7" s="1"/>
  <c r="F23" i="7" s="1"/>
  <c r="G23" i="7" s="1"/>
  <c r="F9" i="7"/>
  <c r="F8" i="7"/>
  <c r="F7" i="7"/>
  <c r="F6" i="7"/>
  <c r="J19" i="6"/>
  <c r="J16" i="6"/>
  <c r="J15" i="6"/>
  <c r="J14" i="6"/>
  <c r="J13" i="6"/>
  <c r="J12" i="6"/>
  <c r="J11" i="6"/>
  <c r="J17" i="6" s="1"/>
  <c r="J10" i="6"/>
  <c r="J9" i="6"/>
  <c r="J8" i="6"/>
  <c r="J7" i="6"/>
  <c r="J6" i="6"/>
  <c r="R23" i="2" s="1"/>
  <c r="J40" i="5"/>
  <c r="H40" i="5"/>
  <c r="G40" i="5"/>
  <c r="F40" i="5"/>
  <c r="E40" i="5"/>
  <c r="D40" i="5"/>
  <c r="C40" i="5"/>
  <c r="J39" i="5"/>
  <c r="H39" i="5"/>
  <c r="E39" i="5"/>
  <c r="D39" i="5"/>
  <c r="C39" i="5"/>
  <c r="J38" i="5"/>
  <c r="H38" i="5"/>
  <c r="E38" i="5"/>
  <c r="D38" i="5"/>
  <c r="C38" i="5"/>
  <c r="J37" i="5"/>
  <c r="H37" i="5"/>
  <c r="E37" i="5"/>
  <c r="D37" i="5"/>
  <c r="C37" i="5"/>
  <c r="J36" i="5"/>
  <c r="H36" i="5"/>
  <c r="E36" i="5"/>
  <c r="D36" i="5"/>
  <c r="C36" i="5"/>
  <c r="J35" i="5"/>
  <c r="H35" i="5"/>
  <c r="E35" i="5"/>
  <c r="D35" i="5"/>
  <c r="C35" i="5"/>
  <c r="J34" i="5"/>
  <c r="H34" i="5"/>
  <c r="E34" i="5"/>
  <c r="D34" i="5"/>
  <c r="C34" i="5"/>
  <c r="J33" i="5"/>
  <c r="H33" i="5"/>
  <c r="E33" i="5"/>
  <c r="D33" i="5"/>
  <c r="C33" i="5"/>
  <c r="J32" i="5"/>
  <c r="H32" i="5"/>
  <c r="E32" i="5"/>
  <c r="D32" i="5"/>
  <c r="C32" i="5"/>
  <c r="J31" i="5"/>
  <c r="H31" i="5"/>
  <c r="E31" i="5"/>
  <c r="D31" i="5"/>
  <c r="C31" i="5"/>
  <c r="J30" i="5"/>
  <c r="H30" i="5"/>
  <c r="E30" i="5"/>
  <c r="D30" i="5"/>
  <c r="C30" i="5"/>
  <c r="J29" i="5"/>
  <c r="H29" i="5"/>
  <c r="E29" i="5"/>
  <c r="D29" i="5"/>
  <c r="C29" i="5"/>
  <c r="N12" i="5"/>
  <c r="L12" i="5"/>
  <c r="J12" i="5"/>
  <c r="E12" i="5"/>
  <c r="M12" i="5" s="1"/>
  <c r="D12" i="5"/>
  <c r="C6" i="12" s="1"/>
  <c r="C12" i="5"/>
  <c r="M11" i="5"/>
  <c r="H11" i="5"/>
  <c r="I11" i="5" s="1"/>
  <c r="G11" i="5"/>
  <c r="F11" i="5"/>
  <c r="D11" i="5"/>
  <c r="C48" i="12" s="1"/>
  <c r="M10" i="5"/>
  <c r="G10" i="5"/>
  <c r="F10" i="5"/>
  <c r="D10" i="5"/>
  <c r="C47" i="12" s="1"/>
  <c r="M9" i="5"/>
  <c r="F9" i="5"/>
  <c r="G9" i="5" s="1"/>
  <c r="D9" i="5"/>
  <c r="C46" i="12" s="1"/>
  <c r="M8" i="5"/>
  <c r="I8" i="5"/>
  <c r="K8" i="5" s="1"/>
  <c r="G45" i="12" s="1"/>
  <c r="H8" i="5"/>
  <c r="G8" i="5"/>
  <c r="F8" i="5"/>
  <c r="D8" i="5"/>
  <c r="C45" i="12" s="1"/>
  <c r="M7" i="5"/>
  <c r="H7" i="5"/>
  <c r="G7" i="5"/>
  <c r="I7" i="5" s="1"/>
  <c r="F7" i="5"/>
  <c r="F12" i="5" s="1"/>
  <c r="D7" i="5"/>
  <c r="C44" i="12" s="1"/>
  <c r="L2" i="4"/>
  <c r="G24" i="3"/>
  <c r="E24" i="3"/>
  <c r="G23" i="3"/>
  <c r="E23" i="3"/>
  <c r="D23" i="3"/>
  <c r="F23" i="3" s="1"/>
  <c r="C23" i="3"/>
  <c r="G22" i="3"/>
  <c r="E22" i="3"/>
  <c r="G21" i="3"/>
  <c r="E21" i="3"/>
  <c r="G20" i="3"/>
  <c r="E20" i="3"/>
  <c r="G19" i="3"/>
  <c r="E19" i="3"/>
  <c r="G18" i="3"/>
  <c r="E18" i="3"/>
  <c r="G17" i="3"/>
  <c r="E17" i="3"/>
  <c r="G16" i="3"/>
  <c r="E16" i="3"/>
  <c r="G15" i="3"/>
  <c r="E15" i="3"/>
  <c r="G14" i="3"/>
  <c r="E14" i="3"/>
  <c r="G13" i="3"/>
  <c r="E13" i="3"/>
  <c r="G12" i="3"/>
  <c r="E12" i="3"/>
  <c r="J6" i="3"/>
  <c r="F6" i="3"/>
  <c r="D6" i="3"/>
  <c r="D49" i="2"/>
  <c r="Q48" i="2"/>
  <c r="O48" i="2"/>
  <c r="L48" i="2"/>
  <c r="I48" i="2"/>
  <c r="G48" i="2"/>
  <c r="D48" i="2"/>
  <c r="A48" i="2"/>
  <c r="Q47" i="2"/>
  <c r="O47" i="2"/>
  <c r="L47" i="2"/>
  <c r="I47" i="2"/>
  <c r="G47" i="2"/>
  <c r="D47" i="2"/>
  <c r="A47" i="2"/>
  <c r="Q46" i="2"/>
  <c r="O46" i="2"/>
  <c r="L46" i="2"/>
  <c r="I46" i="2"/>
  <c r="G46" i="2"/>
  <c r="D46" i="2"/>
  <c r="A46" i="2"/>
  <c r="Q45" i="2"/>
  <c r="O45" i="2"/>
  <c r="L45" i="2"/>
  <c r="I45" i="2"/>
  <c r="G45" i="2"/>
  <c r="D45" i="2"/>
  <c r="A45" i="2"/>
  <c r="Q44" i="2"/>
  <c r="O44" i="2"/>
  <c r="L44" i="2"/>
  <c r="I44" i="2"/>
  <c r="G44" i="2"/>
  <c r="D44" i="2"/>
  <c r="A44" i="2"/>
  <c r="O34" i="2"/>
  <c r="L34" i="2"/>
  <c r="K34" i="2"/>
  <c r="H34" i="2"/>
  <c r="D34" i="2"/>
  <c r="Q33" i="2"/>
  <c r="P33" i="2"/>
  <c r="O33" i="2"/>
  <c r="M33" i="2"/>
  <c r="L33" i="2"/>
  <c r="K33" i="2"/>
  <c r="I33" i="2"/>
  <c r="H33" i="2"/>
  <c r="G33" i="2"/>
  <c r="E33" i="2"/>
  <c r="S33" i="2" s="1"/>
  <c r="Z33" i="2" s="1"/>
  <c r="D33" i="2"/>
  <c r="C33" i="2"/>
  <c r="Q32" i="2"/>
  <c r="Q34" i="2" s="1"/>
  <c r="P32" i="2"/>
  <c r="P34" i="2" s="1"/>
  <c r="O32" i="2"/>
  <c r="M32" i="2"/>
  <c r="M34" i="2" s="1"/>
  <c r="L32" i="2"/>
  <c r="K32" i="2"/>
  <c r="I32" i="2"/>
  <c r="I34" i="2" s="1"/>
  <c r="H32" i="2"/>
  <c r="G32" i="2"/>
  <c r="G34" i="2" s="1"/>
  <c r="E32" i="2"/>
  <c r="E34" i="2" s="1"/>
  <c r="D32" i="2"/>
  <c r="C32" i="2"/>
  <c r="S32" i="2" s="1"/>
  <c r="Z32" i="2" s="1"/>
  <c r="X28" i="2"/>
  <c r="W28" i="2"/>
  <c r="P28" i="2"/>
  <c r="O28" i="2"/>
  <c r="L28" i="2"/>
  <c r="K28" i="2"/>
  <c r="V23" i="2"/>
  <c r="N23" i="2"/>
  <c r="J23" i="2"/>
  <c r="V20" i="2"/>
  <c r="N20" i="2"/>
  <c r="J20" i="2"/>
  <c r="V10" i="2"/>
  <c r="N10" i="2"/>
  <c r="J10" i="2"/>
  <c r="C8" i="1"/>
  <c r="H9" i="5" l="1"/>
  <c r="H12" i="5" s="1"/>
  <c r="G12" i="5"/>
  <c r="D48" i="12"/>
  <c r="K11" i="5"/>
  <c r="G48" i="12" s="1"/>
  <c r="G14" i="12"/>
  <c r="G18" i="12"/>
  <c r="F31" i="5"/>
  <c r="G15" i="12"/>
  <c r="F35" i="5"/>
  <c r="G19" i="12"/>
  <c r="F39" i="5"/>
  <c r="G23" i="12"/>
  <c r="K23" i="3"/>
  <c r="I23" i="3"/>
  <c r="H23" i="3"/>
  <c r="K7" i="5"/>
  <c r="D44" i="12"/>
  <c r="G13" i="12"/>
  <c r="F29" i="5"/>
  <c r="F33" i="5"/>
  <c r="G17" i="12"/>
  <c r="G21" i="12"/>
  <c r="F37" i="5"/>
  <c r="M2" i="4"/>
  <c r="C16" i="7"/>
  <c r="D21" i="8"/>
  <c r="D29" i="8"/>
  <c r="D37" i="8"/>
  <c r="D45" i="8"/>
  <c r="D53" i="8"/>
  <c r="D61" i="8"/>
  <c r="D69" i="8"/>
  <c r="C8" i="12"/>
  <c r="C34" i="2"/>
  <c r="S34" i="2" s="1"/>
  <c r="H10" i="5"/>
  <c r="I10" i="5" s="1"/>
  <c r="D16" i="7"/>
  <c r="E16" i="7" s="1"/>
  <c r="F16" i="7" s="1"/>
  <c r="G16" i="7" s="1"/>
  <c r="D18" i="8"/>
  <c r="D26" i="8"/>
  <c r="D34" i="8"/>
  <c r="D42" i="8"/>
  <c r="D50" i="8"/>
  <c r="D58" i="8"/>
  <c r="D66" i="8"/>
  <c r="D74" i="8"/>
  <c r="F14" i="12"/>
  <c r="F30" i="5" s="1"/>
  <c r="F18" i="12"/>
  <c r="F34" i="5" s="1"/>
  <c r="F22" i="12"/>
  <c r="F38" i="5" s="1"/>
  <c r="K24" i="12"/>
  <c r="K40" i="5" s="1"/>
  <c r="D45" i="12"/>
  <c r="R10" i="2"/>
  <c r="D23" i="8"/>
  <c r="D31" i="8"/>
  <c r="D39" i="8"/>
  <c r="D47" i="8"/>
  <c r="D55" i="8"/>
  <c r="D63" i="8"/>
  <c r="D71" i="8"/>
  <c r="C18" i="11"/>
  <c r="R20" i="2"/>
  <c r="S28" i="2"/>
  <c r="T28" i="2"/>
  <c r="D20" i="8"/>
  <c r="D28" i="8"/>
  <c r="D36" i="8"/>
  <c r="D44" i="8"/>
  <c r="D52" i="8"/>
  <c r="D60" i="8"/>
  <c r="D68" i="8"/>
  <c r="C15" i="11"/>
  <c r="G15" i="11" s="1"/>
  <c r="D18" i="11"/>
  <c r="D17" i="8"/>
  <c r="D25" i="8"/>
  <c r="D33" i="8"/>
  <c r="D41" i="8"/>
  <c r="D49" i="8"/>
  <c r="D57" i="8"/>
  <c r="D65" i="8"/>
  <c r="D73" i="8"/>
  <c r="D15" i="11"/>
  <c r="E18" i="11"/>
  <c r="F12" i="8"/>
  <c r="D22" i="8"/>
  <c r="D30" i="8"/>
  <c r="D38" i="8"/>
  <c r="D46" i="8"/>
  <c r="D54" i="8"/>
  <c r="D62" i="8"/>
  <c r="D70" i="8"/>
  <c r="E15" i="11"/>
  <c r="F18" i="11"/>
  <c r="F16" i="12"/>
  <c r="F32" i="5" s="1"/>
  <c r="F20" i="12"/>
  <c r="F36" i="5" s="1"/>
  <c r="D19" i="8"/>
  <c r="D27" i="8"/>
  <c r="D35" i="8"/>
  <c r="D43" i="8"/>
  <c r="D51" i="8"/>
  <c r="D59" i="8"/>
  <c r="D67" i="8"/>
  <c r="D75" i="8"/>
  <c r="F10" i="7"/>
  <c r="D16" i="8"/>
  <c r="E16" i="8" s="1"/>
  <c r="G16" i="8" s="1"/>
  <c r="D24" i="8"/>
  <c r="D32" i="8"/>
  <c r="D40" i="8"/>
  <c r="D48" i="8"/>
  <c r="D56" i="8"/>
  <c r="D64" i="8"/>
  <c r="D47" i="12" l="1"/>
  <c r="K10" i="5"/>
  <c r="G47" i="12" s="1"/>
  <c r="K18" i="12"/>
  <c r="K34" i="5" s="1"/>
  <c r="I18" i="12"/>
  <c r="I34" i="5" s="1"/>
  <c r="G34" i="5"/>
  <c r="C17" i="3"/>
  <c r="D17" i="3" s="1"/>
  <c r="F17" i="3" s="1"/>
  <c r="K13" i="12"/>
  <c r="K29" i="5" s="1"/>
  <c r="I13" i="12"/>
  <c r="C12" i="3"/>
  <c r="D12" i="3" s="1"/>
  <c r="F12" i="3" s="1"/>
  <c r="G29" i="5"/>
  <c r="J18" i="6"/>
  <c r="G16" i="12"/>
  <c r="K14" i="12"/>
  <c r="K30" i="5" s="1"/>
  <c r="G30" i="5"/>
  <c r="C13" i="3"/>
  <c r="D13" i="3" s="1"/>
  <c r="F13" i="3" s="1"/>
  <c r="I14" i="12"/>
  <c r="I30" i="5" s="1"/>
  <c r="G18" i="11"/>
  <c r="G20" i="12"/>
  <c r="C24" i="3" s="1"/>
  <c r="G39" i="5"/>
  <c r="C22" i="3"/>
  <c r="D22" i="3" s="1"/>
  <c r="F22" i="3" s="1"/>
  <c r="K23" i="12"/>
  <c r="K39" i="5" s="1"/>
  <c r="I23" i="12"/>
  <c r="I39" i="5" s="1"/>
  <c r="G31" i="5"/>
  <c r="C14" i="3"/>
  <c r="D14" i="3" s="1"/>
  <c r="F14" i="3" s="1"/>
  <c r="K15" i="12"/>
  <c r="K31" i="5" s="1"/>
  <c r="I15" i="12"/>
  <c r="I31" i="5" s="1"/>
  <c r="F17" i="8"/>
  <c r="E17" i="8" s="1"/>
  <c r="G17" i="8" s="1"/>
  <c r="K21" i="12"/>
  <c r="K37" i="5" s="1"/>
  <c r="C20" i="3"/>
  <c r="D20" i="3" s="1"/>
  <c r="F20" i="3" s="1"/>
  <c r="I21" i="12"/>
  <c r="I37" i="5" s="1"/>
  <c r="G37" i="5"/>
  <c r="I9" i="5"/>
  <c r="K17" i="12"/>
  <c r="K33" i="5" s="1"/>
  <c r="I17" i="12"/>
  <c r="I33" i="5" s="1"/>
  <c r="G33" i="5"/>
  <c r="C16" i="3"/>
  <c r="D16" i="3" s="1"/>
  <c r="F16" i="3" s="1"/>
  <c r="G44" i="12"/>
  <c r="K19" i="12"/>
  <c r="K35" i="5" s="1"/>
  <c r="G35" i="5"/>
  <c r="C18" i="3"/>
  <c r="D18" i="3" s="1"/>
  <c r="F18" i="3" s="1"/>
  <c r="I19" i="12"/>
  <c r="I35" i="5" s="1"/>
  <c r="G22" i="12"/>
  <c r="F24" i="3" l="1"/>
  <c r="D24" i="3"/>
  <c r="F18" i="8"/>
  <c r="E18" i="8" s="1"/>
  <c r="G18" i="8" s="1"/>
  <c r="D46" i="12"/>
  <c r="K9" i="5"/>
  <c r="I12" i="5"/>
  <c r="K22" i="12"/>
  <c r="K38" i="5" s="1"/>
  <c r="G38" i="5"/>
  <c r="C21" i="3"/>
  <c r="D21" i="3" s="1"/>
  <c r="F21" i="3" s="1"/>
  <c r="I22" i="12"/>
  <c r="I38" i="5" s="1"/>
  <c r="K22" i="3"/>
  <c r="J22" i="3"/>
  <c r="H22" i="3"/>
  <c r="I22" i="3"/>
  <c r="J23" i="3"/>
  <c r="I20" i="12"/>
  <c r="I36" i="5" s="1"/>
  <c r="G36" i="5"/>
  <c r="C19" i="3"/>
  <c r="D19" i="3" s="1"/>
  <c r="F19" i="3" s="1"/>
  <c r="K20" i="12"/>
  <c r="K36" i="5" s="1"/>
  <c r="I17" i="3"/>
  <c r="H17" i="3"/>
  <c r="K17" i="3"/>
  <c r="J17" i="3"/>
  <c r="B6" i="3"/>
  <c r="K20" i="3"/>
  <c r="J20" i="3"/>
  <c r="I20" i="3"/>
  <c r="H20" i="3"/>
  <c r="J13" i="3"/>
  <c r="K13" i="3"/>
  <c r="I13" i="3"/>
  <c r="H13" i="3"/>
  <c r="I12" i="3"/>
  <c r="H12" i="3"/>
  <c r="K12" i="3"/>
  <c r="K14" i="3"/>
  <c r="J14" i="3"/>
  <c r="H14" i="3"/>
  <c r="I14" i="3"/>
  <c r="I29" i="5"/>
  <c r="H18" i="3"/>
  <c r="K18" i="3"/>
  <c r="J18" i="3"/>
  <c r="I18" i="3"/>
  <c r="C22" i="7"/>
  <c r="D20" i="7"/>
  <c r="C5" i="12"/>
  <c r="C20" i="7"/>
  <c r="F20" i="2"/>
  <c r="C4" i="12"/>
  <c r="H28" i="2"/>
  <c r="F23" i="2"/>
  <c r="D28" i="2"/>
  <c r="C28" i="2"/>
  <c r="G28" i="2"/>
  <c r="B23" i="2"/>
  <c r="F10" i="2"/>
  <c r="B10" i="2"/>
  <c r="B20" i="2"/>
  <c r="I16" i="3"/>
  <c r="H16" i="3"/>
  <c r="K16" i="3"/>
  <c r="I16" i="12"/>
  <c r="I32" i="5" s="1"/>
  <c r="G32" i="5"/>
  <c r="C15" i="3"/>
  <c r="D15" i="3" s="1"/>
  <c r="F15" i="3" s="1"/>
  <c r="K16" i="12"/>
  <c r="K32" i="5" s="1"/>
  <c r="F19" i="8" l="1"/>
  <c r="E19" i="8" s="1"/>
  <c r="G19" i="8" s="1"/>
  <c r="K15" i="3"/>
  <c r="J15" i="3"/>
  <c r="H15" i="3"/>
  <c r="I15" i="3"/>
  <c r="E20" i="7"/>
  <c r="D21" i="7"/>
  <c r="D22" i="7"/>
  <c r="J16" i="3"/>
  <c r="G46" i="12"/>
  <c r="K12" i="5"/>
  <c r="K19" i="3"/>
  <c r="J19" i="3"/>
  <c r="I19" i="3"/>
  <c r="H19" i="3"/>
  <c r="J20" i="6"/>
  <c r="K21" i="3"/>
  <c r="I21" i="3"/>
  <c r="J21" i="3"/>
  <c r="H21" i="3"/>
  <c r="I24" i="3"/>
  <c r="H24" i="3"/>
  <c r="F20" i="8" l="1"/>
  <c r="E20" i="8" s="1"/>
  <c r="G20" i="8" s="1"/>
  <c r="C7" i="12"/>
  <c r="C21" i="7"/>
  <c r="E21" i="7"/>
  <c r="E22" i="7"/>
  <c r="F20" i="7"/>
  <c r="F21" i="8" l="1"/>
  <c r="E21" i="8" s="1"/>
  <c r="G21" i="8" s="1"/>
  <c r="F21" i="7"/>
  <c r="F22" i="7"/>
  <c r="G20" i="7"/>
  <c r="F22" i="8" l="1"/>
  <c r="E22" i="8" s="1"/>
  <c r="G22" i="8"/>
  <c r="G21" i="7"/>
  <c r="G22" i="7"/>
  <c r="F23" i="8" l="1"/>
  <c r="E23" i="8" s="1"/>
  <c r="G23" i="8" s="1"/>
  <c r="F24" i="8" l="1"/>
  <c r="E24" i="8" s="1"/>
  <c r="G24" i="8" s="1"/>
  <c r="F25" i="8" l="1"/>
  <c r="E25" i="8" s="1"/>
  <c r="G25" i="8" s="1"/>
  <c r="F26" i="8" l="1"/>
  <c r="E26" i="8" s="1"/>
  <c r="G26" i="8" s="1"/>
  <c r="F27" i="8" l="1"/>
  <c r="E27" i="8" s="1"/>
  <c r="G27" i="8" s="1"/>
  <c r="F28" i="8" l="1"/>
  <c r="E28" i="8" s="1"/>
  <c r="G28" i="8" s="1"/>
  <c r="F29" i="8" l="1"/>
  <c r="E29" i="8" s="1"/>
  <c r="G29" i="8" s="1"/>
  <c r="F30" i="8" l="1"/>
  <c r="E30" i="8" s="1"/>
  <c r="G30" i="8" s="1"/>
  <c r="F31" i="8" l="1"/>
  <c r="E31" i="8" s="1"/>
  <c r="G31" i="8" s="1"/>
  <c r="F32" i="8" l="1"/>
  <c r="E32" i="8" s="1"/>
  <c r="G32" i="8" s="1"/>
  <c r="F33" i="8" l="1"/>
  <c r="E33" i="8" s="1"/>
  <c r="G33" i="8" s="1"/>
  <c r="F34" i="8" l="1"/>
  <c r="E34" i="8" s="1"/>
  <c r="G34" i="8" s="1"/>
  <c r="F35" i="8" l="1"/>
  <c r="E35" i="8" s="1"/>
  <c r="G35" i="8" s="1"/>
  <c r="F36" i="8" l="1"/>
  <c r="E36" i="8" s="1"/>
  <c r="G36" i="8" s="1"/>
  <c r="F37" i="8" l="1"/>
  <c r="E37" i="8" s="1"/>
  <c r="G37" i="8" s="1"/>
  <c r="F38" i="8" l="1"/>
  <c r="E38" i="8" s="1"/>
  <c r="G38" i="8" s="1"/>
  <c r="F39" i="8" l="1"/>
  <c r="E39" i="8" s="1"/>
  <c r="G39" i="8" s="1"/>
  <c r="F40" i="8" l="1"/>
  <c r="E40" i="8" s="1"/>
  <c r="G40" i="8" s="1"/>
  <c r="F41" i="8" l="1"/>
  <c r="E41" i="8" s="1"/>
  <c r="G41" i="8" s="1"/>
  <c r="F42" i="8" l="1"/>
  <c r="E42" i="8" s="1"/>
  <c r="G42" i="8" s="1"/>
  <c r="F43" i="8" l="1"/>
  <c r="E43" i="8" s="1"/>
  <c r="G43" i="8" s="1"/>
  <c r="F44" i="8" l="1"/>
  <c r="E44" i="8" s="1"/>
  <c r="G44" i="8" s="1"/>
  <c r="F45" i="8" l="1"/>
  <c r="E45" i="8" s="1"/>
  <c r="G45" i="8" s="1"/>
  <c r="F46" i="8" l="1"/>
  <c r="E46" i="8" s="1"/>
  <c r="G46" i="8"/>
  <c r="F47" i="8" l="1"/>
  <c r="E47" i="8" s="1"/>
  <c r="G47" i="8" s="1"/>
  <c r="F48" i="8" l="1"/>
  <c r="E48" i="8" s="1"/>
  <c r="G48" i="8" s="1"/>
  <c r="F49" i="8" l="1"/>
  <c r="E49" i="8" s="1"/>
  <c r="G49" i="8" s="1"/>
  <c r="F50" i="8" l="1"/>
  <c r="E50" i="8" s="1"/>
  <c r="G50" i="8" s="1"/>
  <c r="F51" i="8" l="1"/>
  <c r="E51" i="8" s="1"/>
  <c r="G51" i="8" s="1"/>
  <c r="F52" i="8" l="1"/>
  <c r="E52" i="8" s="1"/>
  <c r="G52" i="8" s="1"/>
  <c r="F53" i="8" l="1"/>
  <c r="E53" i="8" s="1"/>
  <c r="G53" i="8" s="1"/>
  <c r="F54" i="8" l="1"/>
  <c r="E54" i="8" s="1"/>
  <c r="G54" i="8" s="1"/>
  <c r="F55" i="8" l="1"/>
  <c r="E55" i="8" s="1"/>
  <c r="G55" i="8" s="1"/>
  <c r="G56" i="8" l="1"/>
  <c r="F56" i="8"/>
  <c r="E56" i="8" s="1"/>
  <c r="G57" i="8" l="1"/>
  <c r="F57" i="8"/>
  <c r="E57" i="8" s="1"/>
  <c r="F58" i="8" l="1"/>
  <c r="E58" i="8" s="1"/>
  <c r="G58" i="8" s="1"/>
  <c r="F59" i="8" l="1"/>
  <c r="E59" i="8" s="1"/>
  <c r="G59" i="8" s="1"/>
  <c r="G60" i="8" l="1"/>
  <c r="F60" i="8"/>
  <c r="E60" i="8" s="1"/>
  <c r="F61" i="8" l="1"/>
  <c r="E61" i="8" s="1"/>
  <c r="G61" i="8" s="1"/>
  <c r="F62" i="8" l="1"/>
  <c r="E62" i="8" s="1"/>
  <c r="G62" i="8" s="1"/>
  <c r="F63" i="8" l="1"/>
  <c r="E63" i="8" s="1"/>
  <c r="G63" i="8" s="1"/>
  <c r="F64" i="8" l="1"/>
  <c r="E64" i="8" s="1"/>
  <c r="G64" i="8" s="1"/>
  <c r="F65" i="8" l="1"/>
  <c r="E65" i="8" s="1"/>
  <c r="G65" i="8" s="1"/>
  <c r="F66" i="8" l="1"/>
  <c r="E66" i="8" s="1"/>
  <c r="G66" i="8" s="1"/>
  <c r="F67" i="8" l="1"/>
  <c r="E67" i="8" s="1"/>
  <c r="G67" i="8" s="1"/>
  <c r="F68" i="8" l="1"/>
  <c r="E68" i="8" s="1"/>
  <c r="G68" i="8" s="1"/>
  <c r="F69" i="8" l="1"/>
  <c r="E69" i="8" s="1"/>
  <c r="G69" i="8" s="1"/>
  <c r="F70" i="8" l="1"/>
  <c r="E70" i="8" s="1"/>
  <c r="G70" i="8" s="1"/>
  <c r="F71" i="8" l="1"/>
  <c r="E71" i="8" s="1"/>
  <c r="G71" i="8" s="1"/>
  <c r="F72" i="8" l="1"/>
  <c r="E72" i="8" s="1"/>
  <c r="G72" i="8" s="1"/>
  <c r="F73" i="8" l="1"/>
  <c r="E73" i="8" s="1"/>
  <c r="G73" i="8" s="1"/>
  <c r="F74" i="8" l="1"/>
  <c r="E74" i="8" s="1"/>
  <c r="G74" i="8" s="1"/>
  <c r="F75" i="8" l="1"/>
  <c r="E75" i="8" s="1"/>
  <c r="G75" i="8" s="1"/>
</calcChain>
</file>

<file path=xl/sharedStrings.xml><?xml version="1.0" encoding="utf-8"?>
<sst xmlns="http://schemas.openxmlformats.org/spreadsheetml/2006/main" count="754" uniqueCount="403">
  <si>
    <t>KPI SUMMARY</t>
  </si>
  <si>
    <t>METRIC</t>
  </si>
  <si>
    <t>ACTUAL</t>
  </si>
  <si>
    <t>BUDGET / TARGET</t>
  </si>
  <si>
    <t>NOI</t>
  </si>
  <si>
    <t>DSCR</t>
  </si>
  <si>
    <t>OCCUPANCY</t>
  </si>
  <si>
    <t>CASH FLOW</t>
  </si>
  <si>
    <t>GROSS REV</t>
  </si>
  <si>
    <t>NET INCOME</t>
  </si>
  <si>
    <t>ACTUAL MONTHLY SERIES  —  JAN–DEC 2024</t>
  </si>
  <si>
    <t>MONTH</t>
  </si>
  <si>
    <t>GROSS RENT</t>
  </si>
  <si>
    <t>VACANCY</t>
  </si>
  <si>
    <t>EGI</t>
  </si>
  <si>
    <t>OP EXP (ACTUAL)</t>
  </si>
  <si>
    <t>DEBT SVC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</si>
  <si>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</si>
  <si>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</si>
  <si>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</si>
  <si>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</si>
  <si>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</si>
  <si>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</si>
  <si>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</si>
  <si>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</si>
  <si>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</si>
  <si>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</si>
  <si>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</si>
  <si>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</si>
  <si>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BUDGET MONTHLY SERIES  —  JAN–DEC 2024</t>
  </si>
  <si>
    <t>OP EXP</t>
  </si>
  <si>
    <t>TOTAL / ANNUAL</t>
  </si>
  <si>
    <t>PROPERTY SNAPSHOT</t>
  </si>
  <si>
    <t>PROPERTY</t>
  </si>
  <si>
    <t>RENT</t>
  </si>
  <si>
    <t>CAP RATE</t>
  </si>
  <si>
    <t>STATUS</t>
  </si>
  <si>
    <t>The Meridian</t>
  </si>
  <si>
    <t>STABLE</t>
  </si>
  <si>
    <t>Parkview Plaza</t>
  </si>
  <si>
    <t>Oakwood Lofts</t>
  </si>
  <si>
    <t>WATCH</t>
  </si>
  <si>
    <t>Summit Towers</t>
  </si>
  <si>
    <t>River's Edge</t>
  </si>
  <si>
    <t>GLOSSARY  —  WHAT THESE NUMBERS MEAN</t>
  </si>
  <si>
    <t>TERM</t>
  </si>
  <si>
    <t>DEFINITION</t>
  </si>
  <si>
    <t>NOI — NET OPERATING INCOME</t>
  </si>
  <si>
    <t>Money earned after paying all operating expenses — before the mortgage.</t>
  </si>
  <si>
    <t>DSCR — DEBT SERVICE COVERAGE</t>
  </si>
  <si>
    <t>How comfortably income covers the mortgage. Target is 1.25x+.</t>
  </si>
  <si>
    <t>Take-home profit after ALL bills and debt are paid.</t>
  </si>
  <si>
    <t>Percentage of units currently rented and generating income.</t>
  </si>
  <si>
    <t>Annual return on property value. Higher is generally better.</t>
  </si>
  <si>
    <t>GROSS REVENUE</t>
  </si>
  <si>
    <t>Total rent collected before any deductions or expenses.</t>
  </si>
  <si>
    <t>BIG PICTURE  —  PORTFOLIO OVERVIEW</t>
  </si>
  <si>
    <t>FLAG</t>
  </si>
  <si>
    <t>TOPIC</t>
  </si>
  <si>
    <t>DETAIL</t>
  </si>
  <si>
    <t>MONITOR CLOSELY</t>
  </si>
  <si>
    <t>Portfolio DSCR at 1.17x is below the 1.25x covenant minimum. Margin is thin.</t>
  </si>
  <si>
    <t>Gross rent tracking below the $280K annual budget. Leasing velocity needs attention.</t>
  </si>
  <si>
    <t>NOTE</t>
  </si>
  <si>
    <t>Portfolio at 94.2% is healthy but Oakwood Lofts at 87.5% is dragging the average.</t>
  </si>
  <si>
    <t>ACTION PLAN  —  RECOMMENDED NEXT STEPS</t>
  </si>
  <si>
    <t>#</t>
  </si>
  <si>
    <t>ACTION</t>
  </si>
  <si>
    <t>1</t>
  </si>
  <si>
    <t>Audit expenses to improve debt coverage safety.</t>
  </si>
  <si>
    <t>2</t>
  </si>
  <si>
    <t>Schedule quarterly review to stress-test portfolio.</t>
  </si>
  <si>
    <t>3</t>
  </si>
  <si>
    <t>Review Oakwood Lofts lease-up strategy — 87.5% occupancy below target.</t>
  </si>
  <si>
    <t>4</t>
  </si>
  <si>
    <t>Evaluate rent increase schedule for Q2 renewals across all properties.</t>
  </si>
  <si>
    <t>Vector Core CFO SOLUTIONS</t>
  </si>
  <si>
    <t>EXECUTIVE KPI &amp; FINANCIAL DASHBOARD  |  Q4 2024</t>
  </si>
  <si>
    <t>CFO SERVICES  •  CONTROLLER SERVICES  •  ASSET MANAGEMENT</t>
  </si>
  <si>
    <t>CLIENT:</t>
  </si>
  <si>
    <t>CONFIDENTIAL  —  PREPARED FOR INTERNAL USE ONLY</t>
  </si>
  <si>
    <t>▌  DASHBOARD NAVIGATION</t>
  </si>
  <si>
    <t xml:space="preserve">  </t>
  </si>
  <si>
    <t>📊 Executive Dashboard</t>
  </si>
  <si>
    <t>Main KPI overview with charts</t>
  </si>
  <si>
    <t>🏢 Property Metrics</t>
  </si>
  <si>
    <t>DSCR, Occupancy, NOI by property</t>
  </si>
  <si>
    <t>⚙️ NOI Engine</t>
  </si>
  <si>
    <t>Net Operating Income waterfall</t>
  </si>
  <si>
    <t>📡 Forecasting</t>
  </si>
  <si>
    <t>5-Year projection model</t>
  </si>
  <si>
    <t>💳 Amortization</t>
  </si>
  <si>
    <t>Loan schedule &amp; payment breakdown</t>
  </si>
  <si>
    <t>🏗️ Capital Plan</t>
  </si>
  <si>
    <t>5-Year CapEx schedule</t>
  </si>
  <si>
    <t>📋 Assumptions</t>
  </si>
  <si>
    <t>All model inputs &amp; drivers (blue cells)</t>
  </si>
  <si>
    <t>💵 Operating Cash Flow</t>
  </si>
  <si>
    <t>Quarterly &amp; annual cash flow statement</t>
  </si>
  <si>
    <t>📥 Data Pulls</t>
  </si>
  <si>
    <t>Monthly raw data input register</t>
  </si>
  <si>
    <t>🔢 Data Engine</t>
  </si>
  <si>
    <t>Chart data source (do not edit)</t>
  </si>
  <si>
    <t>Prepared by Apex CFO Solutions  |  Version 1.0  |  April 2024  |  CONFIDENTIAL</t>
  </si>
  <si>
    <t xml:space="preserve">  📊  EXECUTIVE DASHBOARD</t>
  </si>
  <si>
    <t>Enter Client Name</t>
  </si>
  <si>
    <t>Vector Core - Live Test 1.0</t>
  </si>
  <si>
    <t>▌  KEY PERFORMANCE INDICATORS  —  Q4 2024</t>
  </si>
  <si>
    <t>NET OPERATING INCOME</t>
  </si>
  <si>
    <t>DEBT SVC COVERAGE</t>
  </si>
  <si>
    <t>PORTFOLIO OCCUPANCY</t>
  </si>
  <si>
    <t>OPERATING CASH FLOW</t>
  </si>
  <si>
    <t>▲ +18.4% QoQ</t>
  </si>
  <si>
    <t>▲ +0.17x QoQ</t>
  </si>
  <si>
    <t>▲ +2.1pp QoQ</t>
  </si>
  <si>
    <t>▲ +28.6% QoQ</t>
  </si>
  <si>
    <t>▲ +13.0% QoQ</t>
  </si>
  <si>
    <t>▲ +32.3% QoQ</t>
  </si>
  <si>
    <t xml:space="preserve">Target: $190K  </t>
  </si>
  <si>
    <t>Q4 2024</t>
  </si>
  <si>
    <t xml:space="preserve">Min: 1.25x  </t>
  </si>
  <si>
    <t xml:space="preserve">Target: 95%  </t>
  </si>
  <si>
    <t xml:space="preserve">vs Budget +4.8%  </t>
  </si>
  <si>
    <t xml:space="preserve">Budget: $280K  </t>
  </si>
  <si>
    <t xml:space="preserve">Margin: 18.0%  </t>
  </si>
  <si>
    <t>▌  PERFORMANCE GAUGES</t>
  </si>
  <si>
    <t>NET OPERATING INCOME — Q4 2024</t>
  </si>
  <si>
    <t>Projected YE</t>
  </si>
  <si>
    <t>DEBT SVC COVERAGE — Q4 2024</t>
  </si>
  <si>
    <t>PORTFOLIO OCCUPANCY — Q4 2024</t>
  </si>
  <si>
    <t>OPERATING CASH FLOW — Q4 2024</t>
  </si>
  <si>
    <t>GROSS REVENUE — Q4 2024</t>
  </si>
  <si>
    <t>NET INCOME — Q4 2024</t>
  </si>
  <si>
    <t>(YEAR-END GOAL)</t>
  </si>
  <si>
    <t>(Target: 1.25)</t>
  </si>
  <si>
    <t>(Target: 95%)</t>
  </si>
  <si>
    <t>vs Budget +4.8%</t>
  </si>
  <si>
    <t>Budget: $280K</t>
  </si>
  <si>
    <t>Margin: 18.0%</t>
  </si>
  <si>
    <t>Poor</t>
  </si>
  <si>
    <t>Average</t>
  </si>
  <si>
    <t>Good</t>
  </si>
  <si>
    <t>0K</t>
  </si>
  <si>
    <t>100K</t>
  </si>
  <si>
    <t>200K</t>
  </si>
  <si>
    <t>0x</t>
  </si>
  <si>
    <t>1.0x</t>
  </si>
  <si>
    <t>2.0x</t>
  </si>
  <si>
    <t>0%</t>
  </si>
  <si>
    <t>50%</t>
  </si>
  <si>
    <t>100%</t>
  </si>
  <si>
    <t>175K</t>
  </si>
  <si>
    <t>350K</t>
  </si>
  <si>
    <t>COMPLETION</t>
  </si>
  <si>
    <t>TARGET GAP</t>
  </si>
  <si>
    <t>ON TRACK</t>
  </si>
  <si>
    <t>STRONG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</si>
  <si>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</si>
  <si>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</si>
  <si>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</si>
  <si>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</si>
  <si>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</si>
  <si>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</si>
  <si>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</si>
  <si>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</si>
  <si>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</si>
  <si>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</si>
  <si>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</si>
  <si>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</si>
  <si>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</si>
  <si>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Series</t>
  </si>
  <si>
    <t>Total ($K)</t>
  </si>
  <si>
    <t>Actual</t>
  </si>
  <si>
    <t>Budget</t>
  </si>
  <si>
    <t>Var $</t>
  </si>
  <si>
    <t>▌  PROPERTY PERFORMANCE SNAPSHOT  —  ALL ASSETS  |  Q4 2024</t>
  </si>
  <si>
    <t>✅ Stable</t>
  </si>
  <si>
    <t>✅ Strong</t>
  </si>
  <si>
    <t>⚠️ Watch</t>
  </si>
  <si>
    <t>PORTFOLIO TOTAL / AVG</t>
  </si>
  <si>
    <t>$169.2K</t>
  </si>
  <si>
    <t>1.40x avg</t>
  </si>
  <si>
    <t>$295.0K</t>
  </si>
  <si>
    <t>$62.7K</t>
  </si>
  <si>
    <t>6.7% avg</t>
  </si>
  <si>
    <t>✅ HEALTHY</t>
  </si>
  <si>
    <t xml:space="preserve"> </t>
  </si>
  <si>
    <t>Property</t>
  </si>
  <si>
    <t>Occupancy (%)</t>
  </si>
  <si>
    <t>NOI ($K)</t>
  </si>
  <si>
    <t>Cash Flow ($K)</t>
  </si>
  <si>
    <t>📊  DSCR COVENANT COMPLIANCE MONITOR</t>
  </si>
  <si>
    <t>Debt Service Coverage Ratio  |  Month-by-Month Compliance Tracking  |  Required DSCR Input → Cell H7</t>
  </si>
  <si>
    <t>ANNUALIZED NOI</t>
  </si>
  <si>
    <t>ANNUAL DEBT SVC</t>
  </si>
  <si>
    <t>PORTFOLIO DSCR</t>
  </si>
  <si>
    <t>REQUIRED DSCR ⬅ INPUT</t>
  </si>
  <si>
    <t>PORTFOLIO STATUS</t>
  </si>
  <si>
    <t>▌  MONTH-BY-MONTH DSCR COMPLIANCE TRACKER</t>
  </si>
  <si>
    <t>MONTHLY NOI</t>
  </si>
  <si>
    <t>ANNLZD NOI</t>
  </si>
  <si>
    <t>MONTHLY DS</t>
  </si>
  <si>
    <t>DSCR (ANN.)</t>
  </si>
  <si>
    <t>REQUIRED</t>
  </si>
  <si>
    <t>HEADROOM</t>
  </si>
  <si>
    <t>TREND</t>
  </si>
  <si>
    <t>COVENANT NOTE</t>
  </si>
  <si>
    <t>—</t>
  </si>
  <si>
    <t>FULL YEAR</t>
  </si>
  <si>
    <t>ANNUAL COVENANT CHECK</t>
  </si>
  <si>
    <t>⚙️  To change the required DSCR covenant threshold, edit cell H6 (currently 1.25x). All status cells and the compliance tracker will update automatically.</t>
  </si>
  <si>
    <t>Month</t>
  </si>
  <si>
    <t>Revenue Actual ($K)</t>
  </si>
  <si>
    <t>Revenue Budget ($K)</t>
  </si>
  <si>
    <t>Net Income ($K)</t>
  </si>
  <si>
    <t>EBITDA ($K)</t>
  </si>
  <si>
    <t>Gross Profit ($K)</t>
  </si>
  <si>
    <t>Segment</t>
  </si>
  <si>
    <t>Revenue ($K)</t>
  </si>
  <si>
    <t>Total Units</t>
  </si>
  <si>
    <t>Rev Per Unit</t>
  </si>
  <si>
    <t>Property Mgmt</t>
  </si>
  <si>
    <t>Property A</t>
  </si>
  <si>
    <t>Asset Advisory</t>
  </si>
  <si>
    <t>Property B</t>
  </si>
  <si>
    <t>CFO Services</t>
  </si>
  <si>
    <t>Property C</t>
  </si>
  <si>
    <t>Controller Svcs</t>
  </si>
  <si>
    <t>Property D</t>
  </si>
  <si>
    <t>Other</t>
  </si>
  <si>
    <t>Property E</t>
  </si>
  <si>
    <t>▌  PROPERTY PERFORMANCE MATRIX</t>
  </si>
  <si>
    <t>OCCUPANCY %</t>
  </si>
  <si>
    <t>VACANCY LOSS</t>
  </si>
  <si>
    <t>EFF. GROSS INC</t>
  </si>
  <si>
    <t>OP. EXPENSES</t>
  </si>
  <si>
    <t>UNITS</t>
  </si>
  <si>
    <t>REV/UNIT</t>
  </si>
  <si>
    <t>OCCUPIED UNITS</t>
  </si>
  <si>
    <t>PORTFOLIO TOTAL</t>
  </si>
  <si>
    <t>▌  DSCR GAUGE  —  MINIMUM THRESHOLD: 1.25x</t>
  </si>
  <si>
    <t>1.35x</t>
  </si>
  <si>
    <t>██████░░░░</t>
  </si>
  <si>
    <t>✅ PASS</t>
  </si>
  <si>
    <t>1.52x</t>
  </si>
  <si>
    <t>███████░░░</t>
  </si>
  <si>
    <t>1.18x</t>
  </si>
  <si>
    <t>█████░░░░░</t>
  </si>
  <si>
    <t>❌ FAIL</t>
  </si>
  <si>
    <t>1.67x</t>
  </si>
  <si>
    <t>████████░░</t>
  </si>
  <si>
    <t>1.29x</t>
  </si>
  <si>
    <t>▌  PORTFOLIO MONTHLY PERFORMANCE  —  ACTUAL DATA INPUT</t>
  </si>
  <si>
    <t>▌  NOI WATERFALL  —  CONSOLIDATED</t>
  </si>
  <si>
    <t>GROSS POTENTIAL RENT</t>
  </si>
  <si>
    <t xml:space="preserve">  Vacancy Loss</t>
  </si>
  <si>
    <t xml:space="preserve">  Concessions</t>
  </si>
  <si>
    <t xml:space="preserve">  Credit Loss</t>
  </si>
  <si>
    <t>EFFECTIVE GROSS INCOME</t>
  </si>
  <si>
    <t xml:space="preserve">  Management Fees</t>
  </si>
  <si>
    <t xml:space="preserve">  Insurance</t>
  </si>
  <si>
    <t xml:space="preserve">  Property Taxes</t>
  </si>
  <si>
    <t xml:space="preserve">  Maintenance &amp; Repairs</t>
  </si>
  <si>
    <t xml:space="preserve">  Utilities</t>
  </si>
  <si>
    <t xml:space="preserve">  Administrative</t>
  </si>
  <si>
    <t>TOTAL OPERATING EXPENSES</t>
  </si>
  <si>
    <t xml:space="preserve">  Debt Service (Annual)</t>
  </si>
  <si>
    <t>CASH FLOW AFTER DEBT</t>
  </si>
  <si>
    <t>▌  ASSUMPTIONS</t>
  </si>
  <si>
    <t>Revenue Growth Rate</t>
  </si>
  <si>
    <t>Expense Growth Rate</t>
  </si>
  <si>
    <t>Vacancy Rate</t>
  </si>
  <si>
    <t>CapEx % of Revenue</t>
  </si>
  <si>
    <t>Debt Service (Annual)</t>
  </si>
  <si>
    <t>▌  5-YEAR FORECAST</t>
  </si>
  <si>
    <t>2024A</t>
  </si>
  <si>
    <t>2025E</t>
  </si>
  <si>
    <t>2026E</t>
  </si>
  <si>
    <t>2027E</t>
  </si>
  <si>
    <t>2028E</t>
  </si>
  <si>
    <t>Gross Revenue</t>
  </si>
  <si>
    <t>Gross Profit</t>
  </si>
  <si>
    <t>$1,989K</t>
  </si>
  <si>
    <t>$2,152K</t>
  </si>
  <si>
    <t>$2,328K</t>
  </si>
  <si>
    <t>$2,516K</t>
  </si>
  <si>
    <t>$2,718K</t>
  </si>
  <si>
    <t>EBITDA</t>
  </si>
  <si>
    <t>$942K</t>
  </si>
  <si>
    <t>$1,027K</t>
  </si>
  <si>
    <t>$1,116K</t>
  </si>
  <si>
    <t>$1,213K</t>
  </si>
  <si>
    <t>$1,320K</t>
  </si>
  <si>
    <t>Net Income</t>
  </si>
  <si>
    <t>$601K</t>
  </si>
  <si>
    <t>$658K</t>
  </si>
  <si>
    <t>$720K</t>
  </si>
  <si>
    <t>$789K</t>
  </si>
  <si>
    <t>$867K</t>
  </si>
  <si>
    <t>Cash Flow</t>
  </si>
  <si>
    <t>Occupancy</t>
  </si>
  <si>
    <t>▌  LOAN PARAMETERS  (BLUE CELLS = INPUT)</t>
  </si>
  <si>
    <t>Loan Amount</t>
  </si>
  <si>
    <t>Annual Rate</t>
  </si>
  <si>
    <t>Term (Years)</t>
  </si>
  <si>
    <t>Start Date</t>
  </si>
  <si>
    <t>Monthly Payment</t>
  </si>
  <si>
    <t>Total Interest Paid</t>
  </si>
  <si>
    <t>PERIOD</t>
  </si>
  <si>
    <t>DATE</t>
  </si>
  <si>
    <t>PAYMENT</t>
  </si>
  <si>
    <t>PRINCIPAL</t>
  </si>
  <si>
    <t>INTEREST</t>
  </si>
  <si>
    <t>BALANCE</t>
  </si>
  <si>
    <t>▌  CAPITAL EXPENDITURE PLAN  —  ALL PROPERTIES</t>
  </si>
  <si>
    <t>CATEGORY</t>
  </si>
  <si>
    <t>Roof Replacement</t>
  </si>
  <si>
    <t>HVAC Systems</t>
  </si>
  <si>
    <t>Plumbing Upgrades</t>
  </si>
  <si>
    <t>Electrical Systems</t>
  </si>
  <si>
    <t>Parking Lot</t>
  </si>
  <si>
    <t>Interior Renovations</t>
  </si>
  <si>
    <t>Landscaping</t>
  </si>
  <si>
    <t>Security Systems</t>
  </si>
  <si>
    <t>Energy Efficiency</t>
  </si>
  <si>
    <t>Contingency (10%)</t>
  </si>
  <si>
    <t>TOTAL CAPITAL EXPENDITURE</t>
  </si>
  <si>
    <t>▌  REVENUE ASSUMPTIONS</t>
  </si>
  <si>
    <t>ASSUMPTION</t>
  </si>
  <si>
    <t>VALUE</t>
  </si>
  <si>
    <t>FORMAT</t>
  </si>
  <si>
    <t>NOTES</t>
  </si>
  <si>
    <t>Annual Revenue Growth</t>
  </si>
  <si>
    <t>0.0%</t>
  </si>
  <si>
    <t>Blended portfolio growth</t>
  </si>
  <si>
    <t>Rent Growth Rate</t>
  </si>
  <si>
    <t>Market rate increases</t>
  </si>
  <si>
    <t>Stabilized portfolio target</t>
  </si>
  <si>
    <t>Credit Loss Allowance</t>
  </si>
  <si>
    <t>% of gross potential rent</t>
  </si>
  <si>
    <t>▌  EXPENSE ASSUMPTIONS</t>
  </si>
  <si>
    <t>Operating Expense Ratio</t>
  </si>
  <si>
    <t>% of EGI</t>
  </si>
  <si>
    <t>Management Fee</t>
  </si>
  <si>
    <t>Insurance Growth</t>
  </si>
  <si>
    <t>Annual increase</t>
  </si>
  <si>
    <t>Tax Assessment Growth</t>
  </si>
  <si>
    <t>▌  DEBT &amp; FINANCING</t>
  </si>
  <si>
    <t>$#,##0</t>
  </si>
  <si>
    <t>Primary mortgage</t>
  </si>
  <si>
    <t>Interest Rate</t>
  </si>
  <si>
    <t>0.000%</t>
  </si>
  <si>
    <t>Fixed rate</t>
  </si>
  <si>
    <t>Loan Term</t>
  </si>
  <si>
    <t>@</t>
  </si>
  <si>
    <t>Amortization period</t>
  </si>
  <si>
    <t>LTV Ratio</t>
  </si>
  <si>
    <t>Loan-to-value at origination</t>
  </si>
  <si>
    <t>▌  VALUATION</t>
  </si>
  <si>
    <t>Cap Rate (Stabilized)</t>
  </si>
  <si>
    <t>6.50%</t>
  </si>
  <si>
    <t>Market cap rate</t>
  </si>
  <si>
    <t>Price per Unit (Avg)</t>
  </si>
  <si>
    <t>$125,000</t>
  </si>
  <si>
    <t>Current market</t>
  </si>
  <si>
    <t>Discount Rate (IRR)</t>
  </si>
  <si>
    <t>12.0%</t>
  </si>
  <si>
    <t>Target investor return</t>
  </si>
  <si>
    <t>Hold Period</t>
  </si>
  <si>
    <t>5 yrs</t>
  </si>
  <si>
    <t>Investment horizon</t>
  </si>
  <si>
    <t>For forecasting model</t>
  </si>
  <si>
    <t>CapEx as % of gross revenue</t>
  </si>
  <si>
    <t>Concessions (Annual)</t>
  </si>
  <si>
    <t>Total annual concessions</t>
  </si>
  <si>
    <t>▌  OPERATING EXPENSE RATES</t>
  </si>
  <si>
    <t>Insurance (Annual)</t>
  </si>
  <si>
    <t>Fixed annual cost</t>
  </si>
  <si>
    <t>Property Taxes (Annual)</t>
  </si>
  <si>
    <t>Annual tax amount</t>
  </si>
  <si>
    <t>Maintenance % of EGI</t>
  </si>
  <si>
    <t>Utilities % of EGI</t>
  </si>
  <si>
    <t>Administrative % of EGI</t>
  </si>
  <si>
    <t>LINE ITEM</t>
  </si>
  <si>
    <t>Q1 2024</t>
  </si>
  <si>
    <t>Q2 2024</t>
  </si>
  <si>
    <t>Q3 2024</t>
  </si>
  <si>
    <t>FY 2024</t>
  </si>
  <si>
    <t xml:space="preserve">  Depreciation &amp; Amort.</t>
  </si>
  <si>
    <t xml:space="preserve">  Amortization of Costs</t>
  </si>
  <si>
    <t>FUNDS FROM OPERATIONS</t>
  </si>
  <si>
    <t xml:space="preserve">  (Increase) in A/R</t>
  </si>
  <si>
    <t xml:space="preserve">  (Increase) in Prepaid</t>
  </si>
  <si>
    <t xml:space="preserve">  Increase in A/P</t>
  </si>
  <si>
    <t xml:space="preserve">  Increase in Accruals</t>
  </si>
  <si>
    <t xml:space="preserve">  CapEx</t>
  </si>
  <si>
    <t xml:space="preserve">  Acquisitions</t>
  </si>
  <si>
    <t>INVESTING CASH FLOW</t>
  </si>
  <si>
    <t xml:space="preserve">  Debt Repayment</t>
  </si>
  <si>
    <t xml:space="preserve">  Distributions</t>
  </si>
  <si>
    <t>FINANCING CASH FLOW</t>
  </si>
  <si>
    <t>NET CHANGE IN CASH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</si>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</sst>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\$#,##0.00"/>
    <numFmt numFmtId="165" formatCode="\$#,##0"/>
    <numFmt numFmtId="166" formatCode="0.00\x"/>
    <numFmt numFmtId="167" formatCode="0.00\x;\(0.00&quot;x)&quot;;\-"/>
    <numFmt numFmtId="168" formatCode="0.0%"/>
    <numFmt numFmtId="169" formatCode="\$#,##0_);[Red]&quot;($&quot;#,##0\)"/>
    <numFmt numFmtId="170" formatCode="[$$-409]#,##0.00;[Red]\-[$$-409]#,##0.00"/>
    <numFmt numFmtId="171" formatCode="\$#,##0.00;&quot;($&quot;#,##0.00\);\-"/>
    <numFmt numFmtId="172" formatCode="0.000%"/>
    <numFmt numFmtId="173" formatCode="mmm\-yy"/>
    <numFmt numFmtId="174" formatCode="0&quot; yrs&quot;"/>
    <numFmt numFmtId="175" formatCode="\$#,##0;&quot;($&quot;#,##0\);\-"/>
  </numFmts>
  <fonts count="150" x14ac:knownFonts="1">
    <font>
      <sz val="11"/>
      <color theme="1"/>
      <name val="Calibri"/>
      <family val="2"/>
      <charset val="1"/>
    </font>
    <font>
      <b/>
      <sz val="36"/>
      <color rgb="FF00D26A"/>
      <name val="Arial"/>
      <charset val="1"/>
    </font>
    <font>
      <sz val="13"/>
      <color rgb="FF94A3B8"/>
      <name val="Arial"/>
      <charset val="1"/>
    </font>
    <font>
      <sz val="10"/>
      <color rgb="FF64748B"/>
      <name val="Arial"/>
      <charset val="1"/>
    </font>
    <font>
      <b/>
      <sz val="11"/>
      <color rgb="FF94A3B8"/>
      <name val="Calibri"/>
      <charset val="1"/>
    </font>
    <font>
      <b/>
      <sz val="12"/>
      <color rgb="FF00D26A"/>
      <name val="Calibri"/>
      <charset val="1"/>
    </font>
    <font>
      <b/>
      <sz val="9"/>
      <color rgb="FFEF4444"/>
      <name val="Arial"/>
      <charset val="1"/>
    </font>
    <font>
      <sz val="9"/>
      <color rgb="FF94A3B8"/>
      <name val="Arial"/>
      <charset val="1"/>
    </font>
    <font>
      <b/>
      <sz val="11"/>
      <color rgb="FF00D26A"/>
      <name val="Arial"/>
      <charset val="1"/>
    </font>
    <font>
      <sz val="10"/>
      <color rgb="FF94A3B8"/>
      <name val="Arial"/>
      <charset val="1"/>
    </font>
    <font>
      <b/>
      <sz val="11"/>
      <color rgb="FF06B6D4"/>
      <name val="Arial"/>
      <charset val="1"/>
    </font>
    <font>
      <b/>
      <sz val="11"/>
      <color rgb="FFEAB308"/>
      <name val="Arial"/>
      <charset val="1"/>
    </font>
    <font>
      <b/>
      <sz val="11"/>
      <color rgb="FFA855F7"/>
      <name val="Arial"/>
      <charset val="1"/>
    </font>
    <font>
      <b/>
      <sz val="11"/>
      <color rgb="FFEF4444"/>
      <name val="Arial"/>
      <charset val="1"/>
    </font>
    <font>
      <b/>
      <sz val="11"/>
      <color rgb="FFF97316"/>
      <name val="Arial"/>
      <charset val="1"/>
    </font>
    <font>
      <b/>
      <sz val="11"/>
      <color rgb="FFEC4899"/>
      <name val="Arial"/>
      <charset val="1"/>
    </font>
    <font>
      <b/>
      <sz val="11"/>
      <color rgb="FF3B82F6"/>
      <name val="Arial"/>
      <charset val="1"/>
    </font>
    <font>
      <b/>
      <sz val="11"/>
      <color rgb="FF64748B"/>
      <name val="Arial"/>
      <charset val="1"/>
    </font>
    <font>
      <sz val="8"/>
      <color rgb="FF64748B"/>
      <name val="Arial"/>
      <charset val="1"/>
    </font>
    <font>
      <b/>
      <sz val="14"/>
      <color rgb="FFE6EDF3"/>
      <name val="Calibri"/>
      <charset val="1"/>
    </font>
    <font>
      <sz val="9"/>
      <color rgb="FF94A3B8"/>
      <name val="Calibri"/>
      <charset val="1"/>
    </font>
    <font>
      <b/>
      <sz val="10"/>
      <color rgb="FF94A3B8"/>
      <name val="Calibri"/>
      <charset val="1"/>
    </font>
    <font>
      <b/>
      <sz val="10"/>
      <color rgb="FF0000FF"/>
      <name val="Calibri"/>
      <charset val="1"/>
    </font>
    <font>
      <b/>
      <sz val="11"/>
      <color rgb="FF00D26A"/>
      <name val="Calibri"/>
      <charset val="1"/>
    </font>
    <font>
      <b/>
      <sz val="10"/>
      <color rgb="FF94A3B8"/>
      <name val="Calibri"/>
      <family val="2"/>
      <charset val="1"/>
    </font>
    <font>
      <b/>
      <sz val="14"/>
      <color rgb="FFE6EDF3"/>
      <name val="Calibri"/>
      <family val="2"/>
      <charset val="1"/>
    </font>
    <font>
      <b/>
      <sz val="36"/>
      <color rgb="FF00D26A"/>
      <name val="Calibri"/>
      <family val="2"/>
      <charset val="1"/>
    </font>
    <font>
      <b/>
      <sz val="36"/>
      <color rgb="FFA855F7"/>
      <name val="Calibri"/>
      <family val="2"/>
      <charset val="1"/>
    </font>
    <font>
      <b/>
      <sz val="36"/>
      <color rgb="FFF97316"/>
      <name val="Calibri"/>
      <family val="2"/>
      <charset val="1"/>
    </font>
    <font>
      <b/>
      <sz val="36"/>
      <color rgb="FF06B6D4"/>
      <name val="Calibri"/>
      <family val="2"/>
      <charset val="1"/>
    </font>
    <font>
      <b/>
      <sz val="36"/>
      <color rgb="FFEC4899"/>
      <name val="Calibri"/>
      <family val="2"/>
      <charset val="1"/>
    </font>
    <font>
      <b/>
      <sz val="36"/>
      <color rgb="FFEAB308"/>
      <name val="Calibri"/>
      <family val="2"/>
      <charset val="1"/>
    </font>
    <font>
      <b/>
      <sz val="10"/>
      <color rgb="FF00D26A"/>
      <name val="Calibri"/>
      <charset val="1"/>
    </font>
    <font>
      <sz val="9"/>
      <color rgb="FF94A3B8"/>
      <name val="Calibri"/>
      <family val="2"/>
      <charset val="1"/>
    </font>
    <font>
      <sz val="8"/>
      <color rgb="FF94A3B8"/>
      <name val="Calibri"/>
      <charset val="1"/>
    </font>
    <font>
      <sz val="8"/>
      <color rgb="FFFFFFFF"/>
      <name val="Arial"/>
      <charset val="1"/>
    </font>
    <font>
      <b/>
      <sz val="6.5"/>
      <color rgb="FFA8C8E8"/>
      <name val="Arial"/>
      <charset val="1"/>
    </font>
    <font>
      <sz val="6"/>
      <color rgb="FF7CA8D4"/>
      <name val="Arial"/>
      <charset val="1"/>
    </font>
    <font>
      <b/>
      <sz val="22"/>
      <color rgb="FF00D26A"/>
      <name val="Arial"/>
      <charset val="1"/>
    </font>
    <font>
      <b/>
      <sz val="22"/>
      <color rgb="FFA855F7"/>
      <name val="Arial"/>
      <charset val="1"/>
    </font>
    <font>
      <b/>
      <sz val="22"/>
      <color rgb="FFF97316"/>
      <name val="Arial"/>
      <charset val="1"/>
    </font>
    <font>
      <b/>
      <sz val="22"/>
      <color rgb="FF06B6D4"/>
      <name val="Arial"/>
      <charset val="1"/>
    </font>
    <font>
      <b/>
      <sz val="22"/>
      <color rgb="FFEC4899"/>
      <name val="Arial"/>
      <charset val="1"/>
    </font>
    <font>
      <b/>
      <sz val="22"/>
      <color rgb="FFEAB308"/>
      <name val="Arial"/>
      <charset val="1"/>
    </font>
    <font>
      <sz val="6.5"/>
      <color rgb="FFEF4444"/>
      <name val="Arial"/>
      <charset val="1"/>
    </font>
    <font>
      <sz val="6.5"/>
      <color rgb="FFEAB308"/>
      <name val="Arial"/>
      <charset val="1"/>
    </font>
    <font>
      <sz val="6.5"/>
      <color rgb="FF22C55E"/>
      <name val="Arial"/>
      <charset val="1"/>
    </font>
    <font>
      <b/>
      <sz val="7"/>
      <color rgb="FFFFFFFF"/>
      <name val="Arial"/>
      <charset val="1"/>
    </font>
    <font>
      <sz val="6"/>
      <color rgb="FF475569"/>
      <name val="Arial"/>
      <charset val="1"/>
    </font>
    <font>
      <b/>
      <sz val="9"/>
      <color rgb="FF22C55E"/>
      <name val="Arial"/>
      <charset val="1"/>
    </font>
    <font>
      <b/>
      <sz val="14"/>
      <color rgb="FF00D26A"/>
      <name val="Arial"/>
      <charset val="1"/>
    </font>
    <font>
      <b/>
      <sz val="14"/>
      <color rgb="FFA855F7"/>
      <name val="Arial"/>
      <charset val="1"/>
    </font>
    <font>
      <b/>
      <sz val="9"/>
      <color rgb="FFF97316"/>
      <name val="Arial"/>
      <charset val="1"/>
    </font>
    <font>
      <b/>
      <sz val="14"/>
      <color rgb="FFF97316"/>
      <name val="Arial"/>
      <charset val="1"/>
    </font>
    <font>
      <b/>
      <sz val="14"/>
      <color rgb="FF06B6D4"/>
      <name val="Arial"/>
      <charset val="1"/>
    </font>
    <font>
      <b/>
      <sz val="9"/>
      <color rgb="FFEC4899"/>
      <name val="Arial"/>
      <charset val="1"/>
    </font>
    <font>
      <b/>
      <sz val="14"/>
      <color rgb="FFEC4899"/>
      <name val="Arial"/>
      <charset val="1"/>
    </font>
    <font>
      <b/>
      <sz val="14"/>
      <color rgb="FFEAB308"/>
      <name val="Arial"/>
      <charset val="1"/>
    </font>
    <font>
      <b/>
      <sz val="9"/>
      <color rgb="FF06B6D4"/>
      <name val="Calibri"/>
      <family val="2"/>
      <charset val="1"/>
    </font>
    <font>
      <b/>
      <sz val="12"/>
      <color rgb="FF94A3B8"/>
      <name val="Calibri"/>
      <family val="2"/>
      <charset val="1"/>
    </font>
    <font>
      <b/>
      <sz val="12"/>
      <color rgb="FF06B6D4"/>
      <name val="Calibri"/>
      <family val="2"/>
      <charset val="1"/>
    </font>
    <font>
      <b/>
      <sz val="12"/>
      <color rgb="FF00D26A"/>
      <name val="Calibri"/>
      <family val="2"/>
      <charset val="1"/>
    </font>
    <font>
      <sz val="12"/>
      <color rgb="FF00D26A"/>
      <name val="Calibri"/>
      <family val="2"/>
      <charset val="1"/>
    </font>
    <font>
      <sz val="12"/>
      <color rgb="FF3B82F6"/>
      <name val="Calibri"/>
      <family val="2"/>
      <charset val="1"/>
    </font>
    <font>
      <b/>
      <sz val="12"/>
      <color rgb="FF3B82F6"/>
      <name val="Calibri"/>
      <family val="2"/>
      <charset val="1"/>
    </font>
    <font>
      <b/>
      <sz val="12"/>
      <color rgb="FFEF4444"/>
      <name val="Calibri"/>
      <family val="2"/>
      <charset val="1"/>
    </font>
    <font>
      <b/>
      <sz val="10"/>
      <color rgb="FFE6EDF3"/>
      <name val="Calibri"/>
      <charset val="1"/>
    </font>
    <font>
      <b/>
      <sz val="10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rgb="FF94A3B8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2"/>
      <color rgb="FFF97316"/>
      <name val="Calibri"/>
      <family val="2"/>
      <charset val="1"/>
    </font>
    <font>
      <sz val="12"/>
      <color rgb="FFFFFFFF"/>
      <name val="Calibri"/>
      <family val="2"/>
      <charset val="1"/>
    </font>
    <font>
      <sz val="12"/>
      <color rgb="FF06B6D4"/>
      <name val="Calibri"/>
      <family val="2"/>
      <charset val="1"/>
    </font>
    <font>
      <sz val="12"/>
      <color rgb="FFA855F7"/>
      <name val="Calibri"/>
      <family val="2"/>
      <charset val="1"/>
    </font>
    <font>
      <b/>
      <sz val="12"/>
      <color rgb="FFEAB308"/>
      <name val="Calibri"/>
      <family val="2"/>
      <charset val="1"/>
    </font>
    <font>
      <sz val="7"/>
      <color rgb="FF94A3B8"/>
      <name val="Calibri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8"/>
      <color rgb="FFFFFFFF"/>
      <name val="Arial"/>
      <charset val="1"/>
    </font>
    <font>
      <b/>
      <sz val="18"/>
      <color rgb="FF70AD47"/>
      <name val="Arial"/>
      <charset val="1"/>
    </font>
    <font>
      <b/>
      <sz val="18"/>
      <color rgb="FFC00000"/>
      <name val="Arial"/>
      <charset val="1"/>
    </font>
    <font>
      <b/>
      <sz val="18"/>
      <color rgb="FF2E75B6"/>
      <name val="Arial"/>
      <charset val="1"/>
    </font>
    <font>
      <b/>
      <sz val="18"/>
      <color rgb="FF595959"/>
      <name val="Arial"/>
      <charset val="1"/>
    </font>
    <font>
      <b/>
      <sz val="18"/>
      <color rgb="FF1F3864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i/>
      <sz val="8"/>
      <color rgb="FF7F7F7F"/>
      <name val="Arial"/>
      <charset val="1"/>
    </font>
    <font>
      <sz val="11"/>
      <color rgb="FFFFFFFF"/>
      <name val="Arial"/>
      <charset val="1"/>
    </font>
    <font>
      <b/>
      <sz val="9"/>
      <color rgb="FF06B6D4"/>
      <name val="Arial"/>
      <charset val="1"/>
    </font>
    <font>
      <b/>
      <sz val="10"/>
      <color rgb="FFFFFFFF"/>
      <name val="Calibri"/>
      <charset val="1"/>
    </font>
    <font>
      <b/>
      <sz val="10"/>
      <color rgb="FF00D26A"/>
      <name val="Arial"/>
      <charset val="1"/>
    </font>
    <font>
      <sz val="10"/>
      <color rgb="FFFFFFFF"/>
      <name val="Arial"/>
      <charset val="1"/>
    </font>
    <font>
      <sz val="10"/>
      <color rgb="FFFFFFFF"/>
      <name val="Calibri"/>
      <charset val="1"/>
    </font>
    <font>
      <sz val="10"/>
      <color rgb="FF00D26A"/>
      <name val="Calibri"/>
      <charset val="1"/>
    </font>
    <font>
      <b/>
      <sz val="10"/>
      <color rgb="FF06B6D4"/>
      <name val="Arial"/>
      <charset val="1"/>
    </font>
    <font>
      <b/>
      <sz val="10"/>
      <color rgb="FFF97316"/>
      <name val="Arial"/>
      <charset val="1"/>
    </font>
    <font>
      <b/>
      <sz val="10"/>
      <color rgb="FFA855F7"/>
      <name val="Arial"/>
      <charset val="1"/>
    </font>
    <font>
      <b/>
      <sz val="10"/>
      <color rgb="FFEC4899"/>
      <name val="Arial"/>
      <charset val="1"/>
    </font>
    <font>
      <b/>
      <sz val="12"/>
      <color rgb="FFF97316"/>
      <name val="Arial"/>
      <charset val="1"/>
    </font>
    <font>
      <sz val="10"/>
      <color rgb="FFF97316"/>
      <name val="Arial"/>
      <charset val="1"/>
    </font>
    <font>
      <b/>
      <sz val="12"/>
      <color rgb="FF00D26A"/>
      <name val="Arial"/>
      <charset val="1"/>
    </font>
    <font>
      <sz val="10"/>
      <color rgb="FF00D26A"/>
      <name val="Arial"/>
      <charset val="1"/>
    </font>
    <font>
      <b/>
      <sz val="9"/>
      <color rgb="FF00D26A"/>
      <name val="Arial"/>
      <charset val="1"/>
    </font>
    <font>
      <b/>
      <sz val="12"/>
      <color rgb="FFEF4444"/>
      <name val="Arial"/>
      <charset val="1"/>
    </font>
    <font>
      <sz val="10"/>
      <color rgb="FFEF4444"/>
      <name val="Arial"/>
      <charset val="1"/>
    </font>
    <font>
      <sz val="9"/>
      <color rgb="FF008000"/>
      <name val="Arial"/>
      <charset val="1"/>
    </font>
    <font>
      <b/>
      <sz val="10"/>
      <color rgb="FFB00020"/>
      <name val="Arial"/>
      <charset val="1"/>
    </font>
    <font>
      <b/>
      <sz val="10"/>
      <color rgb="FFB00020"/>
      <name val="Calibri"/>
      <charset val="1"/>
    </font>
    <font>
      <b/>
      <sz val="10"/>
      <color rgb="FFEAB308"/>
      <name val="Arial"/>
      <charset val="1"/>
    </font>
    <font>
      <b/>
      <sz val="10"/>
      <color rgb="FF94A3B8"/>
      <name val="Arial"/>
      <charset val="1"/>
    </font>
    <font>
      <sz val="10"/>
      <color rgb="FF06B6D4"/>
      <name val="Arial"/>
      <charset val="1"/>
    </font>
    <font>
      <sz val="10"/>
      <color rgb="FFEAB308"/>
      <name val="Arial"/>
      <charset val="1"/>
    </font>
    <font>
      <sz val="10"/>
      <color rgb="FFA855F7"/>
      <name val="Arial"/>
      <charset val="1"/>
    </font>
    <font>
      <b/>
      <sz val="10"/>
      <color rgb="FFEC4899"/>
      <name val="Calibri"/>
      <charset val="1"/>
    </font>
    <font>
      <sz val="10"/>
      <color rgb="FFEC4899"/>
      <name val="Calibri"/>
      <charset val="1"/>
    </font>
    <font>
      <b/>
      <sz val="10"/>
      <color rgb="FF06B6D4"/>
      <name val="Calibri"/>
      <charset val="1"/>
    </font>
    <font>
      <sz val="10"/>
      <color rgb="FF06B6D4"/>
      <name val="Calibri"/>
      <charset val="1"/>
    </font>
    <font>
      <b/>
      <sz val="10"/>
      <color rgb="FF0000FF"/>
      <name val="Arial"/>
      <charset val="1"/>
    </font>
    <font>
      <sz val="9"/>
      <color rgb="FFFFFFFF"/>
      <name val="Arial"/>
      <charset val="1"/>
    </font>
    <font>
      <sz val="9"/>
      <color rgb="FF00D26A"/>
      <name val="Arial"/>
      <charset val="1"/>
    </font>
    <font>
      <sz val="9"/>
      <color rgb="FFEF4444"/>
      <name val="Arial"/>
      <charset val="1"/>
    </font>
    <font>
      <b/>
      <sz val="12"/>
      <color rgb="FFEAB308"/>
      <name val="Arial"/>
      <charset val="1"/>
    </font>
    <font>
      <b/>
      <sz val="8"/>
      <color rgb="FFEC4899"/>
      <name val="Arial"/>
      <charset val="1"/>
    </font>
    <font>
      <sz val="9"/>
      <color rgb="FF64748B"/>
      <name val="Arial"/>
      <charset val="1"/>
    </font>
    <font>
      <sz val="10"/>
      <color rgb="FF94A3B8"/>
      <name val="Calibri"/>
      <charset val="1"/>
    </font>
    <font>
      <b/>
      <sz val="9"/>
      <color rgb="FF94A3B8"/>
      <name val="Arial"/>
      <charset val="1"/>
    </font>
    <font>
      <b/>
      <sz val="10"/>
      <color rgb="FFEF4444"/>
      <name val="Arial"/>
      <charset val="1"/>
    </font>
    <font>
      <b/>
      <sz val="9"/>
      <color rgb="FFDAA520"/>
      <name val="Arial"/>
      <charset val="1"/>
    </font>
    <font>
      <sz val="10"/>
      <color rgb="FF008000"/>
      <name val="Arial"/>
      <charset val="1"/>
    </font>
    <font>
      <b/>
      <sz val="9"/>
      <color rgb="FF7B2FBE"/>
      <name val="Arial"/>
      <charset val="1"/>
    </font>
    <font>
      <sz val="9"/>
      <color rgb="FF8899AA"/>
      <name val="Arial"/>
      <charset val="1"/>
    </font>
    <font>
      <b/>
      <sz val="9"/>
      <color rgb="FFD4640C"/>
      <name val="Arial"/>
      <charset val="1"/>
    </font>
    <font>
      <b/>
      <sz val="9"/>
      <color rgb="FF0E7C7B"/>
      <name val="Arial"/>
      <charset val="1"/>
    </font>
    <font>
      <b/>
      <sz val="9"/>
      <color rgb="FF1B4F8A"/>
      <name val="Arial"/>
      <charset val="1"/>
    </font>
    <font>
      <b/>
      <sz val="9"/>
      <color rgb="FF3A7D44"/>
      <name val="Arial"/>
      <charset val="1"/>
    </font>
    <font>
      <b/>
      <sz val="10"/>
      <color rgb="FFFFFFFF"/>
      <name val="Arial"/>
      <family val="2"/>
      <charset val="1"/>
    </font>
    <font>
      <sz val="9"/>
      <color rgb="FFE74C3C"/>
      <name val="Arial"/>
      <charset val="1"/>
    </font>
    <font>
      <sz val="9"/>
      <color rgb="FF0000FF"/>
      <name val="Arial"/>
      <charset val="1"/>
    </font>
    <font>
      <sz val="9"/>
      <color rgb="FF2ECC71"/>
      <name val="Arial"/>
      <charset val="1"/>
    </font>
    <font>
      <sz val="9"/>
      <color rgb="FF0E7C7B"/>
      <name val="Arial"/>
      <charset val="1"/>
    </font>
    <font>
      <sz val="9"/>
      <color rgb="FFD4640C"/>
      <name val="Arial"/>
      <charset val="1"/>
    </font>
    <font>
      <sz val="9"/>
      <color rgb="FF7B2FBE"/>
      <name val="Arial"/>
      <charset val="1"/>
    </font>
    <font>
      <sz val="9"/>
      <color rgb="FFDAA520"/>
      <name val="Arial"/>
      <charset val="1"/>
    </font>
    <font>
      <b/>
      <sz val="9"/>
      <color rgb="FF2ECC71"/>
      <name val="Arial"/>
      <charset val="1"/>
    </font>
    <font>
      <b/>
      <sz val="9"/>
      <color rgb="FFE74C3C"/>
      <name val="Arial"/>
      <charset val="1"/>
    </font>
    <font>
      <b/>
      <sz val="9"/>
      <color rgb="FF4A9EDB"/>
      <name val="Arial"/>
      <charset val="1"/>
    </font>
    <font>
      <b/>
      <sz val="10"/>
      <color rgb="FF2ECC71"/>
      <name val="Arial"/>
      <charset val="1"/>
    </font>
  </fonts>
  <fills count="31">
    <fill>
      <patternFill patternType="none"/>
    </fill>
    <fill>
      <patternFill patternType="gray125"/>
    </fill>
    <fill>
      <patternFill patternType="solid">
        <fgColor rgb="FF0D1117"/>
        <bgColor rgb="FF0D0D0D"/>
      </patternFill>
    </fill>
    <fill>
      <patternFill patternType="solid">
        <fgColor rgb="FF00D26A"/>
        <bgColor rgb="FF22C55E"/>
      </patternFill>
    </fill>
    <fill>
      <patternFill patternType="solid">
        <fgColor rgb="FF0F172A"/>
        <bgColor rgb="FF111827"/>
      </patternFill>
    </fill>
    <fill>
      <patternFill patternType="solid">
        <fgColor rgb="FF161B22"/>
        <bgColor rgb="FF111827"/>
      </patternFill>
    </fill>
    <fill>
      <patternFill patternType="solid">
        <fgColor rgb="FF06B6D4"/>
        <bgColor rgb="FF00D26A"/>
      </patternFill>
    </fill>
    <fill>
      <patternFill patternType="solid">
        <fgColor rgb="FF1C2333"/>
        <bgColor rgb="FF1A2332"/>
      </patternFill>
    </fill>
    <fill>
      <patternFill patternType="solid">
        <fgColor rgb="FFEAB308"/>
        <bgColor rgb="FFDAA520"/>
      </patternFill>
    </fill>
    <fill>
      <patternFill patternType="solid">
        <fgColor rgb="FFA855F7"/>
        <bgColor rgb="FF7B2FBE"/>
      </patternFill>
    </fill>
    <fill>
      <patternFill patternType="solid">
        <fgColor rgb="FFEF4444"/>
        <bgColor rgb="FFE74C3C"/>
      </patternFill>
    </fill>
    <fill>
      <patternFill patternType="solid">
        <fgColor rgb="FFF97316"/>
        <bgColor rgb="FFD4640C"/>
      </patternFill>
    </fill>
    <fill>
      <patternFill patternType="solid">
        <fgColor rgb="FFEC4899"/>
        <bgColor rgb="FFEF4444"/>
      </patternFill>
    </fill>
    <fill>
      <patternFill patternType="solid">
        <fgColor rgb="FF3B82F6"/>
        <bgColor rgb="FF2E75B6"/>
      </patternFill>
    </fill>
    <fill>
      <patternFill patternType="solid">
        <fgColor rgb="FF64748B"/>
        <bgColor rgb="FF7F7F7F"/>
      </patternFill>
    </fill>
    <fill>
      <patternFill patternType="solid">
        <fgColor rgb="FF0F1B2D"/>
        <bgColor rgb="FF0F172A"/>
      </patternFill>
    </fill>
    <fill>
      <patternFill patternType="solid">
        <fgColor rgb="FF0A1830"/>
        <bgColor rgb="FF0A1628"/>
      </patternFill>
    </fill>
    <fill>
      <patternFill patternType="solid">
        <fgColor rgb="FF0A1520"/>
        <bgColor rgb="FF0A1628"/>
      </patternFill>
    </fill>
    <fill>
      <patternFill patternType="solid">
        <fgColor rgb="FF111827"/>
        <bgColor rgb="FF0F172A"/>
      </patternFill>
    </fill>
    <fill>
      <patternFill patternType="solid">
        <fgColor rgb="FF0A1628"/>
        <bgColor rgb="FF0A1520"/>
      </patternFill>
    </fill>
    <fill>
      <patternFill patternType="darkGray">
        <fgColor rgb="FF1F3864"/>
        <bgColor rgb="FF1E3966"/>
      </patternFill>
    </fill>
    <fill>
      <patternFill patternType="solid">
        <fgColor rgb="FFF8F9FA"/>
        <bgColor rgb="FFFFFFFF"/>
      </patternFill>
    </fill>
    <fill>
      <patternFill patternType="solid">
        <fgColor rgb="FF2E75B6"/>
        <bgColor rgb="FF3B82F6"/>
      </patternFill>
    </fill>
    <fill>
      <patternFill patternType="solid">
        <fgColor rgb="FFF2F2F2"/>
        <bgColor rgb="FFF8F9FA"/>
      </patternFill>
    </fill>
    <fill>
      <patternFill patternType="solid">
        <fgColor rgb="FFFFFFFF"/>
        <bgColor rgb="FFF8F9FA"/>
      </patternFill>
    </fill>
    <fill>
      <patternFill patternType="solid">
        <fgColor rgb="FF1F2D3D"/>
        <bgColor rgb="FF1C2B3A"/>
      </patternFill>
    </fill>
    <fill>
      <patternFill patternType="solid">
        <fgColor rgb="FF2C3E50"/>
        <bgColor rgb="FF2D3748"/>
      </patternFill>
    </fill>
    <fill>
      <patternFill patternType="solid">
        <fgColor rgb="FF1A2332"/>
        <bgColor rgb="FF1C2333"/>
      </patternFill>
    </fill>
    <fill>
      <patternFill patternType="solid">
        <fgColor rgb="FF1F3148"/>
        <bgColor rgb="FF1F2D3D"/>
      </patternFill>
    </fill>
    <fill>
      <patternFill patternType="solid">
        <fgColor rgb="FF162234"/>
        <bgColor rgb="FF1A2332"/>
      </patternFill>
    </fill>
    <fill>
      <patternFill patternType="solid">
        <fgColor rgb="FF1C2B3A"/>
        <bgColor rgb="FF1F2D3D"/>
      </patternFill>
    </fill>
  </fills>
  <borders count="29">
    <border>
      <left/>
      <right/>
      <top/>
      <bottom/>
      <diagonal/>
    </border>
    <border>
      <left/>
      <right/>
      <top/>
      <bottom style="thin">
        <color rgb="FF1E3966"/>
      </bottom>
      <diagonal/>
    </border>
    <border>
      <left style="thin">
        <color rgb="FF00D26A"/>
      </left>
      <right style="thin">
        <color rgb="FF00D26A"/>
      </right>
      <top style="thin">
        <color rgb="FF00D26A"/>
      </top>
      <bottom style="thin">
        <color rgb="FF00D26A"/>
      </bottom>
      <diagonal/>
    </border>
    <border>
      <left style="thin">
        <color rgb="FFA855F7"/>
      </left>
      <right style="thin">
        <color rgb="FFA855F7"/>
      </right>
      <top style="thin">
        <color rgb="FFA855F7"/>
      </top>
      <bottom style="thin">
        <color rgb="FFA855F7"/>
      </bottom>
      <diagonal/>
    </border>
    <border>
      <left style="thin">
        <color rgb="FFF97316"/>
      </left>
      <right style="thin">
        <color rgb="FFF97316"/>
      </right>
      <top style="thin">
        <color rgb="FFF97316"/>
      </top>
      <bottom style="thin">
        <color rgb="FFF97316"/>
      </bottom>
      <diagonal/>
    </border>
    <border>
      <left style="thin">
        <color rgb="FF06B6D4"/>
      </left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medium">
        <color rgb="FF94A3B8"/>
      </left>
      <right/>
      <top/>
      <bottom/>
      <diagonal/>
    </border>
    <border>
      <left/>
      <right style="medium">
        <color rgb="FF94A3B8"/>
      </right>
      <top/>
      <bottom/>
      <diagonal/>
    </border>
    <border>
      <left/>
      <right/>
      <top style="thin">
        <color rgb="FF1E3966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2D3748"/>
      </bottom>
      <diagonal/>
    </border>
    <border>
      <left/>
      <right/>
      <top/>
      <bottom style="thin">
        <color rgb="FF00D26A"/>
      </bottom>
      <diagonal/>
    </border>
    <border>
      <left/>
      <right/>
      <top/>
      <bottom style="thin">
        <color rgb="FF06B6D4"/>
      </bottom>
      <diagonal/>
    </border>
    <border>
      <left/>
      <right/>
      <top/>
      <bottom style="thin">
        <color rgb="FFEAB308"/>
      </bottom>
      <diagonal/>
    </border>
    <border>
      <left/>
      <right/>
      <top/>
      <bottom style="thin">
        <color rgb="FFEF4444"/>
      </bottom>
      <diagonal/>
    </border>
    <border>
      <left/>
      <right/>
      <top style="thin">
        <color rgb="FF00D26A"/>
      </top>
      <bottom style="thin">
        <color rgb="FF00D26A"/>
      </bottom>
      <diagonal/>
    </border>
    <border>
      <left/>
      <right style="thin">
        <color rgb="FF00D26A"/>
      </right>
      <top style="thin">
        <color rgb="FF00D26A"/>
      </top>
      <bottom style="thin">
        <color rgb="FF00D26A"/>
      </bottom>
      <diagonal/>
    </border>
    <border>
      <left/>
      <right/>
      <top style="thin">
        <color rgb="FFA855F7"/>
      </top>
      <bottom style="thin">
        <color rgb="FFA855F7"/>
      </bottom>
      <diagonal/>
    </border>
    <border>
      <left/>
      <right style="thin">
        <color rgb="FFA855F7"/>
      </right>
      <top style="thin">
        <color rgb="FFA855F7"/>
      </top>
      <bottom style="thin">
        <color rgb="FFA855F7"/>
      </bottom>
      <diagonal/>
    </border>
    <border>
      <left/>
      <right/>
      <top style="thin">
        <color rgb="FFF97316"/>
      </top>
      <bottom style="thin">
        <color rgb="FFF97316"/>
      </bottom>
      <diagonal/>
    </border>
    <border>
      <left/>
      <right style="thin">
        <color rgb="FFF97316"/>
      </right>
      <top style="thin">
        <color rgb="FFF97316"/>
      </top>
      <bottom style="thin">
        <color rgb="FFF97316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</borders>
  <cellStyleXfs count="1">
    <xf numFmtId="0" fontId="0" fillId="0" borderId="0"/>
  </cellStyleXfs>
  <cellXfs count="40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4" borderId="0" xfId="0" applyFont="1" applyFill="1"/>
    <xf numFmtId="0" fontId="5" fillId="4" borderId="0" xfId="0" applyFont="1" applyFill="1"/>
    <xf numFmtId="0" fontId="9" fillId="5" borderId="0" xfId="0" applyFont="1" applyFill="1" applyAlignment="1">
      <alignment horizontal="left" vertical="center" wrapText="1"/>
    </xf>
    <xf numFmtId="0" fontId="0" fillId="6" borderId="0" xfId="0" applyFill="1"/>
    <xf numFmtId="0" fontId="9" fillId="7" borderId="0" xfId="0" applyFont="1" applyFill="1" applyAlignment="1">
      <alignment horizontal="left" vertical="center" wrapText="1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19" fillId="15" borderId="0" xfId="0" applyFont="1" applyFill="1" applyAlignment="1">
      <alignment horizontal="left" vertical="center"/>
    </xf>
    <xf numFmtId="0" fontId="21" fillId="15" borderId="0" xfId="0" applyFont="1" applyFill="1" applyAlignment="1">
      <alignment horizontal="center" vertical="center"/>
    </xf>
    <xf numFmtId="0" fontId="22" fillId="15" borderId="0" xfId="0" applyFont="1" applyFill="1" applyAlignment="1">
      <alignment horizontal="left" vertical="center" indent="15"/>
    </xf>
    <xf numFmtId="0" fontId="23" fillId="15" borderId="0" xfId="0" applyFont="1" applyFill="1" applyAlignment="1">
      <alignment horizontal="left" vertical="center" indent="15"/>
    </xf>
    <xf numFmtId="0" fontId="0" fillId="15" borderId="0" xfId="0" applyFill="1"/>
    <xf numFmtId="0" fontId="0" fillId="15" borderId="0" xfId="0" applyFill="1" applyAlignment="1">
      <alignment horizontal="left" indent="1"/>
    </xf>
    <xf numFmtId="0" fontId="33" fillId="15" borderId="0" xfId="0" applyFont="1" applyFill="1" applyAlignment="1">
      <alignment horizontal="left" vertical="center" indent="1"/>
    </xf>
    <xf numFmtId="0" fontId="34" fillId="15" borderId="0" xfId="0" applyFont="1" applyFill="1" applyAlignment="1">
      <alignment vertical="center"/>
    </xf>
    <xf numFmtId="0" fontId="34" fillId="15" borderId="0" xfId="0" applyFont="1" applyFill="1" applyAlignment="1">
      <alignment horizontal="left" vertical="center" indent="6"/>
    </xf>
    <xf numFmtId="0" fontId="33" fillId="15" borderId="0" xfId="0" applyFont="1" applyFill="1" applyAlignment="1">
      <alignment horizontal="left" vertical="center" indent="2"/>
    </xf>
    <xf numFmtId="0" fontId="20" fillId="15" borderId="0" xfId="0" applyFont="1" applyFill="1" applyAlignment="1">
      <alignment horizontal="left" vertical="center" indent="2"/>
    </xf>
    <xf numFmtId="0" fontId="35" fillId="3" borderId="0" xfId="0" applyFont="1" applyFill="1"/>
    <xf numFmtId="0" fontId="35" fillId="15" borderId="0" xfId="0" applyFont="1" applyFill="1"/>
    <xf numFmtId="0" fontId="35" fillId="9" borderId="0" xfId="0" applyFont="1" applyFill="1"/>
    <xf numFmtId="0" fontId="35" fillId="11" borderId="0" xfId="0" applyFont="1" applyFill="1"/>
    <xf numFmtId="0" fontId="35" fillId="6" borderId="0" xfId="0" applyFont="1" applyFill="1"/>
    <xf numFmtId="0" fontId="35" fillId="12" borderId="0" xfId="0" applyFont="1" applyFill="1"/>
    <xf numFmtId="0" fontId="35" fillId="8" borderId="0" xfId="0" applyFont="1" applyFill="1"/>
    <xf numFmtId="0" fontId="37" fillId="15" borderId="1" xfId="0" applyFont="1" applyFill="1" applyBorder="1" applyAlignment="1">
      <alignment horizontal="right" vertical="center"/>
    </xf>
    <xf numFmtId="0" fontId="44" fillId="15" borderId="0" xfId="0" applyFont="1" applyFill="1" applyAlignment="1">
      <alignment horizontal="left"/>
    </xf>
    <xf numFmtId="0" fontId="45" fillId="15" borderId="0" xfId="0" applyFont="1" applyFill="1" applyAlignment="1">
      <alignment horizontal="center"/>
    </xf>
    <xf numFmtId="0" fontId="46" fillId="15" borderId="0" xfId="0" applyFont="1" applyFill="1" applyAlignment="1">
      <alignment horizontal="right"/>
    </xf>
    <xf numFmtId="0" fontId="35" fillId="17" borderId="8" xfId="0" applyFont="1" applyFill="1" applyBorder="1"/>
    <xf numFmtId="0" fontId="35" fillId="9" borderId="9" xfId="0" applyFont="1" applyFill="1" applyBorder="1"/>
    <xf numFmtId="0" fontId="35" fillId="17" borderId="0" xfId="0" applyFont="1" applyFill="1"/>
    <xf numFmtId="0" fontId="35" fillId="8" borderId="9" xfId="0" applyFont="1" applyFill="1" applyBorder="1"/>
    <xf numFmtId="0" fontId="48" fillId="15" borderId="0" xfId="0" applyFont="1" applyFill="1" applyAlignment="1">
      <alignment horizontal="left" vertical="top"/>
    </xf>
    <xf numFmtId="0" fontId="48" fillId="15" borderId="0" xfId="0" applyFont="1" applyFill="1" applyAlignment="1">
      <alignment horizontal="center" vertical="top"/>
    </xf>
    <xf numFmtId="0" fontId="48" fillId="15" borderId="0" xfId="0" applyFont="1" applyFill="1" applyAlignment="1">
      <alignment horizontal="right" vertical="top"/>
    </xf>
    <xf numFmtId="0" fontId="37" fillId="15" borderId="10" xfId="0" applyFont="1" applyFill="1" applyBorder="1" applyAlignment="1">
      <alignment horizontal="left" vertical="center"/>
    </xf>
    <xf numFmtId="0" fontId="37" fillId="15" borderId="10" xfId="0" applyFont="1" applyFill="1" applyBorder="1" applyAlignment="1">
      <alignment horizontal="center" vertical="center"/>
    </xf>
    <xf numFmtId="0" fontId="37" fillId="15" borderId="10" xfId="0" applyFont="1" applyFill="1" applyBorder="1" applyAlignment="1">
      <alignment horizontal="right" vertical="center"/>
    </xf>
    <xf numFmtId="0" fontId="49" fillId="15" borderId="0" xfId="0" applyFont="1" applyFill="1" applyAlignment="1">
      <alignment horizontal="left" vertical="center"/>
    </xf>
    <xf numFmtId="0" fontId="50" fillId="15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right" vertical="center"/>
    </xf>
    <xf numFmtId="0" fontId="51" fillId="15" borderId="0" xfId="0" applyFont="1" applyFill="1" applyAlignment="1">
      <alignment horizontal="center" vertical="center"/>
    </xf>
    <xf numFmtId="0" fontId="52" fillId="15" borderId="0" xfId="0" applyFont="1" applyFill="1" applyAlignment="1">
      <alignment horizontal="left" vertical="center"/>
    </xf>
    <xf numFmtId="0" fontId="53" fillId="15" borderId="0" xfId="0" applyFont="1" applyFill="1" applyAlignment="1">
      <alignment horizontal="center" vertical="center"/>
    </xf>
    <xf numFmtId="0" fontId="54" fillId="15" borderId="0" xfId="0" applyFont="1" applyFill="1" applyAlignment="1">
      <alignment horizontal="center" vertical="center"/>
    </xf>
    <xf numFmtId="0" fontId="49" fillId="15" borderId="0" xfId="0" applyFont="1" applyFill="1" applyAlignment="1">
      <alignment horizontal="right" vertical="center"/>
    </xf>
    <xf numFmtId="0" fontId="55" fillId="15" borderId="0" xfId="0" applyFont="1" applyFill="1" applyAlignment="1">
      <alignment horizontal="left" vertical="center"/>
    </xf>
    <xf numFmtId="0" fontId="56" fillId="15" borderId="0" xfId="0" applyFont="1" applyFill="1" applyAlignment="1">
      <alignment horizontal="center" vertical="center"/>
    </xf>
    <xf numFmtId="0" fontId="57" fillId="15" borderId="0" xfId="0" applyFont="1" applyFill="1" applyAlignment="1">
      <alignment horizontal="center" vertical="center"/>
    </xf>
    <xf numFmtId="0" fontId="35" fillId="2" borderId="0" xfId="0" applyFont="1" applyFill="1"/>
    <xf numFmtId="0" fontId="20" fillId="2" borderId="0" xfId="0" applyFont="1" applyFill="1" applyAlignment="1">
      <alignment horizontal="left" vertical="center"/>
    </xf>
    <xf numFmtId="0" fontId="59" fillId="18" borderId="0" xfId="0" applyFont="1" applyFill="1" applyAlignment="1">
      <alignment horizontal="center" vertical="center"/>
    </xf>
    <xf numFmtId="0" fontId="60" fillId="18" borderId="0" xfId="0" applyFont="1" applyFill="1" applyAlignment="1">
      <alignment horizontal="center" vertical="center"/>
    </xf>
    <xf numFmtId="0" fontId="61" fillId="15" borderId="0" xfId="0" applyFont="1" applyFill="1" applyAlignment="1">
      <alignment horizontal="left" vertical="center"/>
    </xf>
    <xf numFmtId="165" fontId="62" fillId="15" borderId="0" xfId="0" applyNumberFormat="1" applyFont="1" applyFill="1" applyAlignment="1">
      <alignment horizontal="center" vertical="center"/>
    </xf>
    <xf numFmtId="165" fontId="63" fillId="15" borderId="0" xfId="0" applyNumberFormat="1" applyFont="1" applyFill="1" applyAlignment="1">
      <alignment horizontal="center" vertical="center"/>
    </xf>
    <xf numFmtId="165" fontId="0" fillId="2" borderId="0" xfId="0" applyNumberFormat="1" applyFill="1"/>
    <xf numFmtId="0" fontId="64" fillId="15" borderId="0" xfId="0" applyFont="1" applyFill="1" applyAlignment="1">
      <alignment horizontal="left" vertical="center"/>
    </xf>
    <xf numFmtId="0" fontId="59" fillId="18" borderId="0" xfId="0" applyFont="1" applyFill="1" applyAlignment="1">
      <alignment horizontal="left" vertical="center"/>
    </xf>
    <xf numFmtId="0" fontId="65" fillId="18" borderId="0" xfId="0" applyFont="1" applyFill="1" applyAlignment="1">
      <alignment horizontal="center" vertical="center"/>
    </xf>
    <xf numFmtId="0" fontId="61" fillId="18" borderId="0" xfId="0" applyFont="1" applyFill="1" applyAlignment="1">
      <alignment horizontal="center" vertical="center"/>
    </xf>
    <xf numFmtId="0" fontId="61" fillId="18" borderId="0" xfId="0" applyFont="1" applyFill="1" applyAlignment="1">
      <alignment vertical="center"/>
    </xf>
    <xf numFmtId="0" fontId="66" fillId="2" borderId="0" xfId="0" applyFont="1" applyFill="1" applyAlignment="1">
      <alignment horizontal="left" vertical="center"/>
    </xf>
    <xf numFmtId="0" fontId="68" fillId="2" borderId="0" xfId="0" applyFont="1" applyFill="1"/>
    <xf numFmtId="0" fontId="69" fillId="2" borderId="0" xfId="0" applyFont="1" applyFill="1" applyAlignment="1">
      <alignment horizontal="left" vertical="center"/>
    </xf>
    <xf numFmtId="0" fontId="72" fillId="15" borderId="0" xfId="0" applyFont="1" applyFill="1" applyAlignment="1">
      <alignment horizontal="center" vertical="center"/>
    </xf>
    <xf numFmtId="0" fontId="72" fillId="18" borderId="0" xfId="0" applyFont="1" applyFill="1" applyAlignment="1">
      <alignment horizontal="center" vertical="center"/>
    </xf>
    <xf numFmtId="0" fontId="75" fillId="19" borderId="0" xfId="0" applyFont="1" applyFill="1" applyAlignment="1">
      <alignment horizontal="center" vertical="center"/>
    </xf>
    <xf numFmtId="0" fontId="76" fillId="2" borderId="0" xfId="0" applyFont="1" applyFill="1" applyAlignment="1">
      <alignment horizontal="left" vertical="center"/>
    </xf>
    <xf numFmtId="0" fontId="86" fillId="20" borderId="11" xfId="0" applyFont="1" applyFill="1" applyBorder="1" applyAlignment="1">
      <alignment horizontal="center" vertical="center" wrapText="1"/>
    </xf>
    <xf numFmtId="0" fontId="87" fillId="23" borderId="11" xfId="0" applyFont="1" applyFill="1" applyBorder="1" applyAlignment="1">
      <alignment horizontal="center" vertical="center"/>
    </xf>
    <xf numFmtId="164" fontId="88" fillId="23" borderId="11" xfId="0" applyNumberFormat="1" applyFont="1" applyFill="1" applyBorder="1" applyAlignment="1">
      <alignment horizontal="right" vertical="center"/>
    </xf>
    <xf numFmtId="165" fontId="88" fillId="23" borderId="11" xfId="0" applyNumberFormat="1" applyFont="1" applyFill="1" applyBorder="1" applyAlignment="1">
      <alignment horizontal="right" vertical="center"/>
    </xf>
    <xf numFmtId="166" fontId="87" fillId="23" borderId="11" xfId="0" applyNumberFormat="1" applyFont="1" applyFill="1" applyBorder="1" applyAlignment="1">
      <alignment horizontal="center" vertical="center"/>
    </xf>
    <xf numFmtId="166" fontId="88" fillId="23" borderId="11" xfId="0" applyNumberFormat="1" applyFont="1" applyFill="1" applyBorder="1" applyAlignment="1">
      <alignment horizontal="center" vertical="center"/>
    </xf>
    <xf numFmtId="167" fontId="88" fillId="23" borderId="11" xfId="0" applyNumberFormat="1" applyFont="1" applyFill="1" applyBorder="1" applyAlignment="1">
      <alignment horizontal="center" vertical="center"/>
    </xf>
    <xf numFmtId="0" fontId="88" fillId="23" borderId="11" xfId="0" applyFont="1" applyFill="1" applyBorder="1" applyAlignment="1">
      <alignment horizontal="center" vertical="center"/>
    </xf>
    <xf numFmtId="0" fontId="88" fillId="23" borderId="11" xfId="0" applyFont="1" applyFill="1" applyBorder="1" applyAlignment="1">
      <alignment horizontal="left" vertical="center"/>
    </xf>
    <xf numFmtId="0" fontId="87" fillId="24" borderId="11" xfId="0" applyFont="1" applyFill="1" applyBorder="1" applyAlignment="1">
      <alignment horizontal="center" vertical="center"/>
    </xf>
    <xf numFmtId="164" fontId="88" fillId="24" borderId="11" xfId="0" applyNumberFormat="1" applyFont="1" applyFill="1" applyBorder="1" applyAlignment="1">
      <alignment horizontal="right" vertical="center"/>
    </xf>
    <xf numFmtId="165" fontId="88" fillId="24" borderId="11" xfId="0" applyNumberFormat="1" applyFont="1" applyFill="1" applyBorder="1" applyAlignment="1">
      <alignment horizontal="right" vertical="center"/>
    </xf>
    <xf numFmtId="166" fontId="87" fillId="24" borderId="11" xfId="0" applyNumberFormat="1" applyFont="1" applyFill="1" applyBorder="1" applyAlignment="1">
      <alignment horizontal="center" vertical="center"/>
    </xf>
    <xf numFmtId="166" fontId="88" fillId="24" borderId="11" xfId="0" applyNumberFormat="1" applyFont="1" applyFill="1" applyBorder="1" applyAlignment="1">
      <alignment horizontal="center" vertical="center"/>
    </xf>
    <xf numFmtId="167" fontId="88" fillId="24" borderId="11" xfId="0" applyNumberFormat="1" applyFont="1" applyFill="1" applyBorder="1" applyAlignment="1">
      <alignment horizontal="center" vertical="center"/>
    </xf>
    <xf numFmtId="0" fontId="88" fillId="24" borderId="11" xfId="0" applyFont="1" applyFill="1" applyBorder="1" applyAlignment="1">
      <alignment horizontal="center" vertical="center"/>
    </xf>
    <xf numFmtId="0" fontId="88" fillId="24" borderId="11" xfId="0" applyFont="1" applyFill="1" applyBorder="1" applyAlignment="1">
      <alignment horizontal="left" vertical="center"/>
    </xf>
    <xf numFmtId="0" fontId="86" fillId="20" borderId="11" xfId="0" applyFont="1" applyFill="1" applyBorder="1" applyAlignment="1">
      <alignment horizontal="center" vertical="center"/>
    </xf>
    <xf numFmtId="165" fontId="86" fillId="20" borderId="11" xfId="0" applyNumberFormat="1" applyFont="1" applyFill="1" applyBorder="1" applyAlignment="1">
      <alignment horizontal="center" vertical="center"/>
    </xf>
    <xf numFmtId="166" fontId="86" fillId="20" borderId="11" xfId="0" applyNumberFormat="1" applyFont="1" applyFill="1" applyBorder="1" applyAlignment="1">
      <alignment horizontal="center" vertical="center"/>
    </xf>
    <xf numFmtId="167" fontId="86" fillId="20" borderId="11" xfId="0" applyNumberFormat="1" applyFont="1" applyFill="1" applyBorder="1" applyAlignment="1">
      <alignment horizontal="center" vertical="center"/>
    </xf>
    <xf numFmtId="0" fontId="87" fillId="0" borderId="0" xfId="0" applyFont="1"/>
    <xf numFmtId="165" fontId="0" fillId="0" borderId="0" xfId="0" applyNumberFormat="1"/>
    <xf numFmtId="1" fontId="0" fillId="0" borderId="0" xfId="0" applyNumberFormat="1"/>
    <xf numFmtId="0" fontId="91" fillId="7" borderId="0" xfId="0" applyFont="1" applyFill="1" applyAlignment="1">
      <alignment horizontal="center" vertical="center" wrapText="1"/>
    </xf>
    <xf numFmtId="0" fontId="86" fillId="20" borderId="0" xfId="0" applyFont="1" applyFill="1" applyAlignment="1">
      <alignment horizontal="center"/>
    </xf>
    <xf numFmtId="0" fontId="92" fillId="20" borderId="0" xfId="0" applyFont="1" applyFill="1" applyAlignment="1">
      <alignment horizontal="center"/>
    </xf>
    <xf numFmtId="0" fontId="93" fillId="5" borderId="12" xfId="0" applyFont="1" applyFill="1" applyBorder="1" applyAlignment="1">
      <alignment horizontal="center" vertical="center" wrapText="1"/>
    </xf>
    <xf numFmtId="0" fontId="94" fillId="5" borderId="12" xfId="0" applyFont="1" applyFill="1" applyBorder="1" applyAlignment="1">
      <alignment horizontal="center" vertical="center" wrapText="1"/>
    </xf>
    <xf numFmtId="168" fontId="95" fillId="5" borderId="12" xfId="0" applyNumberFormat="1" applyFont="1" applyFill="1" applyBorder="1" applyAlignment="1">
      <alignment horizontal="center" vertical="center" wrapText="1"/>
    </xf>
    <xf numFmtId="169" fontId="94" fillId="5" borderId="12" xfId="0" applyNumberFormat="1" applyFont="1" applyFill="1" applyBorder="1" applyAlignment="1">
      <alignment horizontal="center" vertical="center" wrapText="1"/>
    </xf>
    <xf numFmtId="169" fontId="95" fillId="5" borderId="12" xfId="0" applyNumberFormat="1" applyFont="1" applyFill="1" applyBorder="1" applyAlignment="1">
      <alignment horizontal="center" vertical="center" wrapText="1"/>
    </xf>
    <xf numFmtId="169" fontId="96" fillId="5" borderId="12" xfId="0" applyNumberFormat="1" applyFont="1" applyFill="1" applyBorder="1" applyAlignment="1">
      <alignment horizontal="center" vertical="center" wrapText="1"/>
    </xf>
    <xf numFmtId="10" fontId="94" fillId="5" borderId="12" xfId="0" applyNumberFormat="1" applyFont="1" applyFill="1" applyBorder="1" applyAlignment="1">
      <alignment horizontal="center" vertical="center" wrapText="1"/>
    </xf>
    <xf numFmtId="1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22" fillId="5" borderId="0" xfId="0" applyFont="1" applyFill="1" applyAlignment="1">
      <alignment horizontal="center"/>
    </xf>
    <xf numFmtId="0" fontId="97" fillId="7" borderId="12" xfId="0" applyFont="1" applyFill="1" applyBorder="1" applyAlignment="1">
      <alignment horizontal="center" vertical="center" wrapText="1"/>
    </xf>
    <xf numFmtId="0" fontId="94" fillId="7" borderId="12" xfId="0" applyFont="1" applyFill="1" applyBorder="1" applyAlignment="1">
      <alignment horizontal="center" vertical="center" wrapText="1"/>
    </xf>
    <xf numFmtId="168" fontId="95" fillId="7" borderId="12" xfId="0" applyNumberFormat="1" applyFont="1" applyFill="1" applyBorder="1" applyAlignment="1">
      <alignment horizontal="center" vertical="center" wrapText="1"/>
    </xf>
    <xf numFmtId="169" fontId="94" fillId="7" borderId="12" xfId="0" applyNumberFormat="1" applyFont="1" applyFill="1" applyBorder="1" applyAlignment="1">
      <alignment horizontal="center" vertical="center" wrapText="1"/>
    </xf>
    <xf numFmtId="169" fontId="95" fillId="7" borderId="12" xfId="0" applyNumberFormat="1" applyFont="1" applyFill="1" applyBorder="1" applyAlignment="1">
      <alignment horizontal="center" vertical="center" wrapText="1"/>
    </xf>
    <xf numFmtId="169" fontId="96" fillId="7" borderId="12" xfId="0" applyNumberFormat="1" applyFont="1" applyFill="1" applyBorder="1" applyAlignment="1">
      <alignment horizontal="center" vertical="center" wrapText="1"/>
    </xf>
    <xf numFmtId="10" fontId="94" fillId="7" borderId="12" xfId="0" applyNumberFormat="1" applyFont="1" applyFill="1" applyBorder="1" applyAlignment="1">
      <alignment horizontal="center" vertical="center" wrapText="1"/>
    </xf>
    <xf numFmtId="0" fontId="22" fillId="7" borderId="0" xfId="0" applyFont="1" applyFill="1" applyAlignment="1">
      <alignment horizontal="center"/>
    </xf>
    <xf numFmtId="0" fontId="98" fillId="5" borderId="12" xfId="0" applyFont="1" applyFill="1" applyBorder="1" applyAlignment="1">
      <alignment horizontal="center" vertical="center" wrapText="1"/>
    </xf>
    <xf numFmtId="0" fontId="99" fillId="7" borderId="12" xfId="0" applyFont="1" applyFill="1" applyBorder="1" applyAlignment="1">
      <alignment horizontal="center" vertical="center" wrapText="1"/>
    </xf>
    <xf numFmtId="0" fontId="100" fillId="5" borderId="12" xfId="0" applyFont="1" applyFill="1" applyBorder="1" applyAlignment="1">
      <alignment horizontal="center" vertical="center" wrapText="1"/>
    </xf>
    <xf numFmtId="168" fontId="0" fillId="2" borderId="0" xfId="0" applyNumberFormat="1" applyFill="1"/>
    <xf numFmtId="169" fontId="0" fillId="2" borderId="0" xfId="0" applyNumberFormat="1" applyFill="1"/>
    <xf numFmtId="10" fontId="0" fillId="2" borderId="0" xfId="0" applyNumberFormat="1" applyFill="1"/>
    <xf numFmtId="1" fontId="87" fillId="2" borderId="0" xfId="0" applyNumberFormat="1" applyFont="1" applyFill="1" applyAlignment="1">
      <alignment horizontal="center"/>
    </xf>
    <xf numFmtId="165" fontId="87" fillId="2" borderId="0" xfId="0" applyNumberFormat="1" applyFont="1" applyFill="1" applyAlignment="1">
      <alignment horizontal="center"/>
    </xf>
    <xf numFmtId="0" fontId="92" fillId="2" borderId="0" xfId="0" applyFont="1" applyFill="1"/>
    <xf numFmtId="0" fontId="85" fillId="5" borderId="0" xfId="0" applyFont="1" applyFill="1" applyAlignment="1">
      <alignment horizontal="left" vertical="center" wrapText="1"/>
    </xf>
    <xf numFmtId="0" fontId="101" fillId="5" borderId="0" xfId="0" applyFont="1" applyFill="1" applyAlignment="1">
      <alignment horizontal="center" vertical="center" wrapText="1"/>
    </xf>
    <xf numFmtId="0" fontId="102" fillId="5" borderId="0" xfId="0" applyFont="1" applyFill="1" applyAlignment="1">
      <alignment horizontal="left" vertical="center" wrapText="1"/>
    </xf>
    <xf numFmtId="0" fontId="52" fillId="5" borderId="0" xfId="0" applyFont="1" applyFill="1" applyAlignment="1">
      <alignment horizontal="center" vertical="center" wrapText="1"/>
    </xf>
    <xf numFmtId="0" fontId="103" fillId="5" borderId="0" xfId="0" applyFont="1" applyFill="1" applyAlignment="1">
      <alignment horizontal="center" vertical="center" wrapText="1"/>
    </xf>
    <xf numFmtId="0" fontId="104" fillId="5" borderId="0" xfId="0" applyFont="1" applyFill="1" applyAlignment="1">
      <alignment horizontal="left" vertical="center" wrapText="1"/>
    </xf>
    <xf numFmtId="0" fontId="105" fillId="5" borderId="0" xfId="0" applyFont="1" applyFill="1" applyAlignment="1">
      <alignment horizontal="center" vertical="center" wrapText="1"/>
    </xf>
    <xf numFmtId="0" fontId="106" fillId="5" borderId="0" xfId="0" applyFont="1" applyFill="1" applyAlignment="1">
      <alignment horizontal="center" vertical="center" wrapText="1"/>
    </xf>
    <xf numFmtId="0" fontId="107" fillId="5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center" vertical="center" wrapText="1"/>
    </xf>
    <xf numFmtId="0" fontId="85" fillId="25" borderId="0" xfId="0" applyFont="1" applyFill="1"/>
    <xf numFmtId="0" fontId="86" fillId="26" borderId="0" xfId="0" applyFont="1" applyFill="1" applyAlignment="1">
      <alignment horizontal="center"/>
    </xf>
    <xf numFmtId="0" fontId="88" fillId="2" borderId="0" xfId="0" applyFont="1" applyFill="1"/>
    <xf numFmtId="165" fontId="108" fillId="2" borderId="0" xfId="0" applyNumberFormat="1" applyFont="1" applyFill="1"/>
    <xf numFmtId="168" fontId="108" fillId="2" borderId="0" xfId="0" applyNumberFormat="1" applyFont="1" applyFill="1"/>
    <xf numFmtId="166" fontId="108" fillId="2" borderId="0" xfId="0" applyNumberFormat="1" applyFont="1" applyFill="1"/>
    <xf numFmtId="164" fontId="93" fillId="7" borderId="12" xfId="0" applyNumberFormat="1" applyFont="1" applyFill="1" applyBorder="1" applyAlignment="1">
      <alignment horizontal="right" vertical="center" wrapText="1"/>
    </xf>
    <xf numFmtId="0" fontId="94" fillId="7" borderId="0" xfId="0" applyFont="1" applyFill="1" applyAlignment="1">
      <alignment horizontal="left" vertical="center" wrapText="1"/>
    </xf>
    <xf numFmtId="170" fontId="9" fillId="7" borderId="0" xfId="0" applyNumberFormat="1" applyFont="1" applyFill="1" applyAlignment="1">
      <alignment horizontal="right" vertical="center" wrapText="1"/>
    </xf>
    <xf numFmtId="0" fontId="94" fillId="5" borderId="0" xfId="0" applyFont="1" applyFill="1" applyAlignment="1">
      <alignment horizontal="left" vertical="center" wrapText="1"/>
    </xf>
    <xf numFmtId="171" fontId="96" fillId="5" borderId="0" xfId="0" applyNumberFormat="1" applyFont="1" applyFill="1" applyAlignment="1">
      <alignment horizontal="right" vertical="center" wrapText="1"/>
    </xf>
    <xf numFmtId="171" fontId="96" fillId="7" borderId="0" xfId="0" applyNumberFormat="1" applyFont="1" applyFill="1" applyAlignment="1">
      <alignment horizontal="right" vertical="center" wrapText="1"/>
    </xf>
    <xf numFmtId="164" fontId="97" fillId="7" borderId="12" xfId="0" applyNumberFormat="1" applyFont="1" applyFill="1" applyBorder="1" applyAlignment="1">
      <alignment horizontal="right" vertical="center" wrapText="1"/>
    </xf>
    <xf numFmtId="170" fontId="110" fillId="7" borderId="12" xfId="0" applyNumberFormat="1" applyFont="1" applyFill="1" applyBorder="1" applyAlignment="1">
      <alignment horizontal="right" vertical="center" wrapText="1"/>
    </xf>
    <xf numFmtId="164" fontId="111" fillId="7" borderId="12" xfId="0" applyNumberFormat="1" applyFont="1" applyFill="1" applyBorder="1" applyAlignment="1">
      <alignment horizontal="right" vertical="center" wrapText="1"/>
    </xf>
    <xf numFmtId="10" fontId="96" fillId="5" borderId="0" xfId="0" applyNumberFormat="1" applyFont="1" applyFill="1" applyAlignment="1">
      <alignment horizontal="center" vertical="center" wrapText="1"/>
    </xf>
    <xf numFmtId="168" fontId="96" fillId="5" borderId="0" xfId="0" applyNumberFormat="1" applyFont="1" applyFill="1" applyAlignment="1">
      <alignment horizontal="center" vertical="center" wrapText="1"/>
    </xf>
    <xf numFmtId="0" fontId="96" fillId="5" borderId="0" xfId="0" applyFont="1" applyFill="1" applyAlignment="1">
      <alignment horizontal="center" vertical="center" wrapText="1"/>
    </xf>
    <xf numFmtId="0" fontId="112" fillId="7" borderId="0" xfId="0" applyFont="1" applyFill="1" applyAlignment="1">
      <alignment horizontal="left" vertical="center" wrapText="1"/>
    </xf>
    <xf numFmtId="0" fontId="99" fillId="7" borderId="0" xfId="0" applyFont="1" applyFill="1" applyAlignment="1">
      <alignment horizontal="center" vertical="center" wrapText="1"/>
    </xf>
    <xf numFmtId="0" fontId="93" fillId="5" borderId="0" xfId="0" applyFont="1" applyFill="1" applyAlignment="1">
      <alignment horizontal="center" vertical="center" wrapText="1"/>
    </xf>
    <xf numFmtId="0" fontId="97" fillId="7" borderId="0" xfId="0" applyFont="1" applyFill="1" applyAlignment="1">
      <alignment horizontal="center" vertical="center" wrapText="1"/>
    </xf>
    <xf numFmtId="0" fontId="113" fillId="7" borderId="0" xfId="0" applyFont="1" applyFill="1" applyAlignment="1">
      <alignment horizontal="center" vertical="center" wrapText="1"/>
    </xf>
    <xf numFmtId="0" fontId="111" fillId="5" borderId="0" xfId="0" applyFont="1" applyFill="1" applyAlignment="1">
      <alignment horizontal="center" vertical="center" wrapText="1"/>
    </xf>
    <xf numFmtId="0" fontId="114" fillId="5" borderId="0" xfId="0" applyFont="1" applyFill="1" applyAlignment="1">
      <alignment horizontal="center" vertical="center" wrapText="1"/>
    </xf>
    <xf numFmtId="0" fontId="115" fillId="7" borderId="0" xfId="0" applyFont="1" applyFill="1" applyAlignment="1">
      <alignment horizontal="center" vertical="center" wrapText="1"/>
    </xf>
    <xf numFmtId="0" fontId="98" fillId="5" borderId="0" xfId="0" applyFont="1" applyFill="1" applyAlignment="1">
      <alignment horizontal="center" vertical="center" wrapText="1"/>
    </xf>
    <xf numFmtId="0" fontId="93" fillId="7" borderId="0" xfId="0" applyFont="1" applyFill="1" applyAlignment="1">
      <alignment horizontal="center" vertical="center" wrapText="1"/>
    </xf>
    <xf numFmtId="0" fontId="96" fillId="7" borderId="0" xfId="0" applyFont="1" applyFill="1" applyAlignment="1">
      <alignment horizontal="center" vertical="center" wrapText="1"/>
    </xf>
    <xf numFmtId="0" fontId="116" fillId="5" borderId="0" xfId="0" applyFont="1" applyFill="1" applyAlignment="1">
      <alignment horizontal="center" vertical="center" wrapText="1"/>
    </xf>
    <xf numFmtId="0" fontId="117" fillId="5" borderId="0" xfId="0" applyFont="1" applyFill="1" applyAlignment="1">
      <alignment horizontal="center" vertical="center" wrapText="1"/>
    </xf>
    <xf numFmtId="168" fontId="118" fillId="7" borderId="0" xfId="0" applyNumberFormat="1" applyFont="1" applyFill="1" applyAlignment="1">
      <alignment horizontal="center" vertical="center" wrapText="1"/>
    </xf>
    <xf numFmtId="168" fontId="119" fillId="7" borderId="0" xfId="0" applyNumberFormat="1" applyFont="1" applyFill="1" applyAlignment="1">
      <alignment horizontal="center" vertical="center" wrapText="1"/>
    </xf>
    <xf numFmtId="165" fontId="96" fillId="5" borderId="0" xfId="0" applyNumberFormat="1" applyFont="1" applyFill="1" applyAlignment="1">
      <alignment horizontal="center" vertical="center" wrapText="1"/>
    </xf>
    <xf numFmtId="172" fontId="96" fillId="5" borderId="0" xfId="0" applyNumberFormat="1" applyFont="1" applyFill="1" applyAlignment="1">
      <alignment horizontal="center" vertical="center" wrapText="1"/>
    </xf>
    <xf numFmtId="1" fontId="96" fillId="5" borderId="0" xfId="0" applyNumberFormat="1" applyFont="1" applyFill="1" applyAlignment="1">
      <alignment horizontal="center" vertical="center" wrapText="1"/>
    </xf>
    <xf numFmtId="173" fontId="120" fillId="5" borderId="0" xfId="0" applyNumberFormat="1" applyFont="1" applyFill="1" applyAlignment="1">
      <alignment horizontal="center" vertical="center" wrapText="1"/>
    </xf>
    <xf numFmtId="164" fontId="103" fillId="7" borderId="0" xfId="0" applyNumberFormat="1" applyFont="1" applyFill="1" applyAlignment="1">
      <alignment horizontal="center" vertical="center" wrapText="1"/>
    </xf>
    <xf numFmtId="164" fontId="106" fillId="7" borderId="0" xfId="0" applyNumberFormat="1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173" fontId="121" fillId="5" borderId="0" xfId="0" applyNumberFormat="1" applyFont="1" applyFill="1" applyAlignment="1">
      <alignment horizontal="center" vertical="center" wrapText="1"/>
    </xf>
    <xf numFmtId="164" fontId="121" fillId="5" borderId="0" xfId="0" applyNumberFormat="1" applyFont="1" applyFill="1" applyAlignment="1">
      <alignment horizontal="center" vertical="center" wrapText="1"/>
    </xf>
    <xf numFmtId="164" fontId="122" fillId="5" borderId="0" xfId="0" applyNumberFormat="1" applyFont="1" applyFill="1" applyAlignment="1">
      <alignment horizontal="center" vertical="center" wrapText="1"/>
    </xf>
    <xf numFmtId="164" fontId="123" fillId="5" borderId="0" xfId="0" applyNumberFormat="1" applyFont="1" applyFill="1" applyAlignment="1">
      <alignment horizontal="center" vertical="center" wrapText="1"/>
    </xf>
    <xf numFmtId="164" fontId="91" fillId="5" borderId="0" xfId="0" applyNumberFormat="1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173" fontId="121" fillId="7" borderId="0" xfId="0" applyNumberFormat="1" applyFont="1" applyFill="1" applyAlignment="1">
      <alignment horizontal="center" vertical="center" wrapText="1"/>
    </xf>
    <xf numFmtId="164" fontId="121" fillId="7" borderId="0" xfId="0" applyNumberFormat="1" applyFont="1" applyFill="1" applyAlignment="1">
      <alignment horizontal="center" vertical="center" wrapText="1"/>
    </xf>
    <xf numFmtId="164" fontId="122" fillId="7" borderId="0" xfId="0" applyNumberFormat="1" applyFont="1" applyFill="1" applyAlignment="1">
      <alignment horizontal="center" vertical="center" wrapText="1"/>
    </xf>
    <xf numFmtId="164" fontId="123" fillId="7" borderId="0" xfId="0" applyNumberFormat="1" applyFont="1" applyFill="1" applyAlignment="1">
      <alignment horizontal="center" vertical="center" wrapText="1"/>
    </xf>
    <xf numFmtId="164" fontId="91" fillId="7" borderId="0" xfId="0" applyNumberFormat="1" applyFont="1" applyFill="1" applyAlignment="1">
      <alignment horizontal="center" vertical="center" wrapText="1"/>
    </xf>
    <xf numFmtId="0" fontId="52" fillId="7" borderId="0" xfId="0" applyFont="1" applyFill="1" applyAlignment="1">
      <alignment horizontal="center" vertical="center" wrapText="1"/>
    </xf>
    <xf numFmtId="165" fontId="102" fillId="5" borderId="0" xfId="0" applyNumberFormat="1" applyFont="1" applyFill="1" applyAlignment="1">
      <alignment horizontal="center" vertical="center" wrapText="1"/>
    </xf>
    <xf numFmtId="49" fontId="3" fillId="5" borderId="0" xfId="0" applyNumberFormat="1" applyFont="1" applyFill="1" applyAlignment="1">
      <alignment horizontal="center" vertical="center" wrapText="1"/>
    </xf>
    <xf numFmtId="165" fontId="111" fillId="5" borderId="0" xfId="0" applyNumberFormat="1" applyFont="1" applyFill="1" applyAlignment="1">
      <alignment horizontal="center" vertical="center" wrapText="1"/>
    </xf>
    <xf numFmtId="165" fontId="102" fillId="7" borderId="0" xfId="0" applyNumberFormat="1" applyFont="1" applyFill="1" applyAlignment="1">
      <alignment horizontal="center" vertical="center" wrapText="1"/>
    </xf>
    <xf numFmtId="49" fontId="3" fillId="7" borderId="0" xfId="0" applyNumberFormat="1" applyFont="1" applyFill="1" applyAlignment="1">
      <alignment horizontal="center" vertical="center" wrapText="1"/>
    </xf>
    <xf numFmtId="165" fontId="111" fillId="7" borderId="0" xfId="0" applyNumberFormat="1" applyFont="1" applyFill="1" applyAlignment="1">
      <alignment horizontal="center" vertical="center" wrapText="1"/>
    </xf>
    <xf numFmtId="0" fontId="14" fillId="7" borderId="4" xfId="0" applyFont="1" applyFill="1" applyBorder="1" applyAlignment="1">
      <alignment horizontal="left" vertical="center" wrapText="1"/>
    </xf>
    <xf numFmtId="165" fontId="14" fillId="7" borderId="4" xfId="0" applyNumberFormat="1" applyFont="1" applyFill="1" applyBorder="1" applyAlignment="1">
      <alignment horizontal="center" vertical="center" wrapText="1"/>
    </xf>
    <xf numFmtId="165" fontId="124" fillId="7" borderId="4" xfId="0" applyNumberFormat="1" applyFont="1" applyFill="1" applyBorder="1" applyAlignment="1">
      <alignment horizontal="center" vertical="center" wrapText="1"/>
    </xf>
    <xf numFmtId="0" fontId="125" fillId="7" borderId="0" xfId="0" applyFont="1" applyFill="1" applyAlignment="1">
      <alignment horizontal="center" vertical="center" wrapText="1"/>
    </xf>
    <xf numFmtId="10" fontId="120" fillId="5" borderId="0" xfId="0" applyNumberFormat="1" applyFont="1" applyFill="1" applyAlignment="1">
      <alignment horizontal="center" vertical="center" wrapText="1"/>
    </xf>
    <xf numFmtId="0" fontId="126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left" vertical="center" wrapText="1"/>
    </xf>
    <xf numFmtId="10" fontId="120" fillId="7" borderId="0" xfId="0" applyNumberFormat="1" applyFont="1" applyFill="1" applyAlignment="1">
      <alignment horizontal="center" vertical="center" wrapText="1"/>
    </xf>
    <xf numFmtId="0" fontId="126" fillId="7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left" vertical="center" wrapText="1"/>
    </xf>
    <xf numFmtId="165" fontId="120" fillId="5" borderId="0" xfId="0" applyNumberFormat="1" applyFont="1" applyFill="1" applyAlignment="1">
      <alignment horizontal="center" vertical="center" wrapText="1"/>
    </xf>
    <xf numFmtId="174" fontId="120" fillId="5" borderId="0" xfId="0" applyNumberFormat="1" applyFont="1" applyFill="1" applyAlignment="1">
      <alignment horizontal="center" vertical="center" wrapText="1"/>
    </xf>
    <xf numFmtId="0" fontId="120" fillId="5" borderId="0" xfId="0" applyFont="1" applyFill="1" applyAlignment="1">
      <alignment horizontal="center" vertical="center" wrapText="1"/>
    </xf>
    <xf numFmtId="0" fontId="120" fillId="7" borderId="0" xfId="0" applyFont="1" applyFill="1" applyAlignment="1">
      <alignment horizontal="center" vertical="center" wrapText="1"/>
    </xf>
    <xf numFmtId="0" fontId="95" fillId="2" borderId="0" xfId="0" applyFont="1" applyFill="1"/>
    <xf numFmtId="168" fontId="22" fillId="2" borderId="0" xfId="0" applyNumberFormat="1" applyFont="1" applyFill="1"/>
    <xf numFmtId="0" fontId="127" fillId="2" borderId="0" xfId="0" applyFont="1" applyFill="1"/>
    <xf numFmtId="165" fontId="22" fillId="2" borderId="0" xfId="0" applyNumberFormat="1" applyFont="1" applyFill="1"/>
    <xf numFmtId="0" fontId="128" fillId="7" borderId="0" xfId="0" applyFont="1" applyFill="1" applyAlignment="1">
      <alignment horizontal="left" vertical="center" wrapText="1"/>
    </xf>
    <xf numFmtId="0" fontId="105" fillId="7" borderId="0" xfId="0" applyFont="1" applyFill="1" applyAlignment="1">
      <alignment horizontal="center" vertical="center" wrapText="1"/>
    </xf>
    <xf numFmtId="0" fontId="93" fillId="7" borderId="13" xfId="0" applyFont="1" applyFill="1" applyBorder="1" applyAlignment="1">
      <alignment horizontal="left" vertical="center" wrapText="1"/>
    </xf>
    <xf numFmtId="175" fontId="93" fillId="7" borderId="13" xfId="0" applyNumberFormat="1" applyFont="1" applyFill="1" applyBorder="1" applyAlignment="1">
      <alignment horizontal="center" vertical="center" wrapText="1"/>
    </xf>
    <xf numFmtId="175" fontId="9" fillId="7" borderId="0" xfId="0" applyNumberFormat="1" applyFont="1" applyFill="1" applyAlignment="1">
      <alignment horizontal="center" vertical="center" wrapText="1"/>
    </xf>
    <xf numFmtId="175" fontId="9" fillId="5" borderId="0" xfId="0" applyNumberFormat="1" applyFont="1" applyFill="1" applyAlignment="1">
      <alignment horizontal="center" vertical="center" wrapText="1"/>
    </xf>
    <xf numFmtId="0" fontId="97" fillId="7" borderId="14" xfId="0" applyFont="1" applyFill="1" applyBorder="1" applyAlignment="1">
      <alignment horizontal="left" vertical="center" wrapText="1"/>
    </xf>
    <xf numFmtId="175" fontId="97" fillId="7" borderId="14" xfId="0" applyNumberFormat="1" applyFont="1" applyFill="1" applyBorder="1" applyAlignment="1">
      <alignment horizontal="center" vertical="center" wrapText="1"/>
    </xf>
    <xf numFmtId="0" fontId="111" fillId="7" borderId="15" xfId="0" applyFont="1" applyFill="1" applyBorder="1" applyAlignment="1">
      <alignment horizontal="left" vertical="center" wrapText="1"/>
    </xf>
    <xf numFmtId="175" fontId="111" fillId="7" borderId="15" xfId="0" applyNumberFormat="1" applyFont="1" applyFill="1" applyBorder="1" applyAlignment="1">
      <alignment horizontal="center" vertical="center" wrapText="1"/>
    </xf>
    <xf numFmtId="175" fontId="96" fillId="7" borderId="0" xfId="0" applyNumberFormat="1" applyFont="1" applyFill="1" applyAlignment="1">
      <alignment horizontal="center" vertical="center" wrapText="1"/>
    </xf>
    <xf numFmtId="0" fontId="129" fillId="7" borderId="16" xfId="0" applyFont="1" applyFill="1" applyBorder="1" applyAlignment="1">
      <alignment horizontal="left" vertical="center" wrapText="1"/>
    </xf>
    <xf numFmtId="175" fontId="129" fillId="7" borderId="16" xfId="0" applyNumberFormat="1" applyFont="1" applyFill="1" applyBorder="1" applyAlignment="1">
      <alignment horizontal="center" vertical="center" wrapText="1"/>
    </xf>
    <xf numFmtId="175" fontId="96" fillId="5" borderId="0" xfId="0" applyNumberFormat="1" applyFont="1" applyFill="1" applyAlignment="1">
      <alignment horizontal="center" vertical="center" wrapText="1"/>
    </xf>
    <xf numFmtId="0" fontId="88" fillId="0" borderId="0" xfId="0" applyFont="1"/>
    <xf numFmtId="0" fontId="121" fillId="27" borderId="0" xfId="0" applyFont="1" applyFill="1" applyAlignment="1">
      <alignment horizontal="left" vertical="center"/>
    </xf>
    <xf numFmtId="0" fontId="85" fillId="27" borderId="0" xfId="0" applyFont="1" applyFill="1" applyAlignment="1">
      <alignment horizontal="left" vertical="center"/>
    </xf>
    <xf numFmtId="0" fontId="86" fillId="28" borderId="0" xfId="0" applyFont="1" applyFill="1" applyAlignment="1">
      <alignment horizontal="center" vertical="center"/>
    </xf>
    <xf numFmtId="0" fontId="86" fillId="29" borderId="0" xfId="0" applyFont="1" applyFill="1" applyAlignment="1">
      <alignment horizontal="left" vertical="center"/>
    </xf>
    <xf numFmtId="165" fontId="130" fillId="29" borderId="0" xfId="0" applyNumberFormat="1" applyFont="1" applyFill="1" applyAlignment="1">
      <alignment horizontal="right" vertical="center"/>
    </xf>
    <xf numFmtId="165" fontId="131" fillId="29" borderId="0" xfId="0" applyNumberFormat="1" applyFont="1" applyFill="1" applyAlignment="1">
      <alignment horizontal="right" vertical="center"/>
    </xf>
    <xf numFmtId="0" fontId="86" fillId="30" borderId="0" xfId="0" applyFont="1" applyFill="1" applyAlignment="1">
      <alignment horizontal="left" vertical="center"/>
    </xf>
    <xf numFmtId="166" fontId="132" fillId="30" borderId="0" xfId="0" applyNumberFormat="1" applyFont="1" applyFill="1" applyAlignment="1">
      <alignment horizontal="right" vertical="center"/>
    </xf>
    <xf numFmtId="166" fontId="133" fillId="30" borderId="0" xfId="0" applyNumberFormat="1" applyFont="1" applyFill="1" applyAlignment="1">
      <alignment horizontal="right" vertical="center"/>
    </xf>
    <xf numFmtId="168" fontId="134" fillId="29" borderId="0" xfId="0" applyNumberFormat="1" applyFont="1" applyFill="1" applyAlignment="1">
      <alignment horizontal="right" vertical="center"/>
    </xf>
    <xf numFmtId="168" fontId="133" fillId="29" borderId="0" xfId="0" applyNumberFormat="1" applyFont="1" applyFill="1" applyAlignment="1">
      <alignment horizontal="right" vertical="center"/>
    </xf>
    <xf numFmtId="165" fontId="135" fillId="30" borderId="0" xfId="0" applyNumberFormat="1" applyFont="1" applyFill="1" applyAlignment="1">
      <alignment horizontal="right" vertical="center"/>
    </xf>
    <xf numFmtId="165" fontId="133" fillId="30" borderId="0" xfId="0" applyNumberFormat="1" applyFont="1" applyFill="1" applyAlignment="1">
      <alignment horizontal="right" vertical="center"/>
    </xf>
    <xf numFmtId="165" fontId="136" fillId="29" borderId="0" xfId="0" applyNumberFormat="1" applyFont="1" applyFill="1" applyAlignment="1">
      <alignment horizontal="right" vertical="center"/>
    </xf>
    <xf numFmtId="165" fontId="133" fillId="29" borderId="0" xfId="0" applyNumberFormat="1" applyFont="1" applyFill="1" applyAlignment="1">
      <alignment horizontal="right" vertical="center"/>
    </xf>
    <xf numFmtId="165" fontId="137" fillId="30" borderId="0" xfId="0" applyNumberFormat="1" applyFont="1" applyFill="1" applyAlignment="1">
      <alignment horizontal="right" vertical="center"/>
    </xf>
    <xf numFmtId="9" fontId="133" fillId="30" borderId="0" xfId="0" applyNumberFormat="1" applyFont="1" applyFill="1" applyAlignment="1">
      <alignment horizontal="right" vertical="center"/>
    </xf>
    <xf numFmtId="0" fontId="138" fillId="27" borderId="0" xfId="0" applyFont="1" applyFill="1" applyAlignment="1">
      <alignment horizontal="left" vertical="center"/>
    </xf>
    <xf numFmtId="0" fontId="87" fillId="28" borderId="0" xfId="0" applyFont="1" applyFill="1" applyAlignment="1">
      <alignment horizontal="center" vertical="center"/>
    </xf>
    <xf numFmtId="0" fontId="133" fillId="29" borderId="0" xfId="0" applyFont="1" applyFill="1" applyAlignment="1">
      <alignment horizontal="left" vertical="center"/>
    </xf>
    <xf numFmtId="165" fontId="121" fillId="29" borderId="0" xfId="0" applyNumberFormat="1" applyFont="1" applyFill="1" applyAlignment="1">
      <alignment horizontal="right" vertical="center"/>
    </xf>
    <xf numFmtId="165" fontId="139" fillId="29" borderId="0" xfId="0" applyNumberFormat="1" applyFont="1" applyFill="1" applyAlignment="1">
      <alignment horizontal="right" vertical="center"/>
    </xf>
    <xf numFmtId="165" fontId="140" fillId="29" borderId="0" xfId="0" applyNumberFormat="1" applyFont="1" applyFill="1" applyAlignment="1">
      <alignment horizontal="right" vertical="center"/>
    </xf>
    <xf numFmtId="165" fontId="141" fillId="29" borderId="0" xfId="0" applyNumberFormat="1" applyFont="1" applyFill="1" applyAlignment="1">
      <alignment horizontal="right" vertical="center"/>
    </xf>
    <xf numFmtId="165" fontId="142" fillId="29" borderId="0" xfId="0" applyNumberFormat="1" applyFont="1" applyFill="1" applyAlignment="1">
      <alignment horizontal="right" vertical="center"/>
    </xf>
    <xf numFmtId="168" fontId="143" fillId="29" borderId="0" xfId="0" applyNumberFormat="1" applyFont="1" applyFill="1" applyAlignment="1">
      <alignment horizontal="right" vertical="center"/>
    </xf>
    <xf numFmtId="166" fontId="144" fillId="29" borderId="0" xfId="0" applyNumberFormat="1" applyFont="1" applyFill="1" applyAlignment="1">
      <alignment horizontal="right" vertical="center"/>
    </xf>
    <xf numFmtId="0" fontId="133" fillId="30" borderId="0" xfId="0" applyFont="1" applyFill="1" applyAlignment="1">
      <alignment horizontal="left" vertical="center"/>
    </xf>
    <xf numFmtId="165" fontId="121" fillId="30" borderId="0" xfId="0" applyNumberFormat="1" applyFont="1" applyFill="1" applyAlignment="1">
      <alignment horizontal="right" vertical="center"/>
    </xf>
    <xf numFmtId="165" fontId="139" fillId="30" borderId="0" xfId="0" applyNumberFormat="1" applyFont="1" applyFill="1" applyAlignment="1">
      <alignment horizontal="right" vertical="center"/>
    </xf>
    <xf numFmtId="165" fontId="140" fillId="30" borderId="0" xfId="0" applyNumberFormat="1" applyFont="1" applyFill="1" applyAlignment="1">
      <alignment horizontal="right" vertical="center"/>
    </xf>
    <xf numFmtId="165" fontId="141" fillId="30" borderId="0" xfId="0" applyNumberFormat="1" applyFont="1" applyFill="1" applyAlignment="1">
      <alignment horizontal="right" vertical="center"/>
    </xf>
    <xf numFmtId="165" fontId="142" fillId="30" borderId="0" xfId="0" applyNumberFormat="1" applyFont="1" applyFill="1" applyAlignment="1">
      <alignment horizontal="right" vertical="center"/>
    </xf>
    <xf numFmtId="168" fontId="143" fillId="30" borderId="0" xfId="0" applyNumberFormat="1" applyFont="1" applyFill="1" applyAlignment="1">
      <alignment horizontal="right" vertical="center"/>
    </xf>
    <xf numFmtId="166" fontId="144" fillId="30" borderId="0" xfId="0" applyNumberFormat="1" applyFont="1" applyFill="1" applyAlignment="1">
      <alignment horizontal="right" vertical="center"/>
    </xf>
    <xf numFmtId="3" fontId="121" fillId="29" borderId="0" xfId="0" applyNumberFormat="1" applyFont="1" applyFill="1" applyAlignment="1">
      <alignment horizontal="right" vertical="center"/>
    </xf>
    <xf numFmtId="3" fontId="139" fillId="29" borderId="0" xfId="0" applyNumberFormat="1" applyFont="1" applyFill="1" applyAlignment="1">
      <alignment horizontal="right" vertical="center"/>
    </xf>
    <xf numFmtId="3" fontId="140" fillId="29" borderId="0" xfId="0" applyNumberFormat="1" applyFont="1" applyFill="1" applyAlignment="1">
      <alignment horizontal="right" vertical="center"/>
    </xf>
    <xf numFmtId="3" fontId="141" fillId="29" borderId="0" xfId="0" applyNumberFormat="1" applyFont="1" applyFill="1" applyAlignment="1">
      <alignment horizontal="right" vertical="center"/>
    </xf>
    <xf numFmtId="3" fontId="133" fillId="29" borderId="0" xfId="0" applyNumberFormat="1" applyFont="1" applyFill="1" applyAlignment="1">
      <alignment horizontal="right" vertical="center"/>
    </xf>
    <xf numFmtId="3" fontId="142" fillId="29" borderId="0" xfId="0" applyNumberFormat="1" applyFont="1" applyFill="1" applyAlignment="1">
      <alignment horizontal="right" vertical="center"/>
    </xf>
    <xf numFmtId="3" fontId="121" fillId="30" borderId="0" xfId="0" applyNumberFormat="1" applyFont="1" applyFill="1" applyAlignment="1">
      <alignment horizontal="right" vertical="center"/>
    </xf>
    <xf numFmtId="3" fontId="139" fillId="30" borderId="0" xfId="0" applyNumberFormat="1" applyFont="1" applyFill="1" applyAlignment="1">
      <alignment horizontal="right" vertical="center"/>
    </xf>
    <xf numFmtId="3" fontId="140" fillId="30" borderId="0" xfId="0" applyNumberFormat="1" applyFont="1" applyFill="1" applyAlignment="1">
      <alignment horizontal="right" vertical="center"/>
    </xf>
    <xf numFmtId="3" fontId="141" fillId="30" borderId="0" xfId="0" applyNumberFormat="1" applyFont="1" applyFill="1" applyAlignment="1">
      <alignment horizontal="right" vertical="center"/>
    </xf>
    <xf numFmtId="3" fontId="133" fillId="30" borderId="0" xfId="0" applyNumberFormat="1" applyFont="1" applyFill="1" applyAlignment="1">
      <alignment horizontal="right" vertical="center"/>
    </xf>
    <xf numFmtId="3" fontId="142" fillId="30" borderId="0" xfId="0" applyNumberFormat="1" applyFont="1" applyFill="1" applyAlignment="1">
      <alignment horizontal="right" vertical="center"/>
    </xf>
    <xf numFmtId="3" fontId="85" fillId="27" borderId="0" xfId="0" applyNumberFormat="1" applyFont="1" applyFill="1" applyAlignment="1">
      <alignment horizontal="right" vertical="center"/>
    </xf>
    <xf numFmtId="168" fontId="85" fillId="27" borderId="0" xfId="0" applyNumberFormat="1" applyFont="1" applyFill="1" applyAlignment="1">
      <alignment horizontal="right" vertical="center"/>
    </xf>
    <xf numFmtId="166" fontId="85" fillId="27" borderId="0" xfId="0" applyNumberFormat="1" applyFont="1" applyFill="1" applyAlignment="1">
      <alignment horizontal="right" vertical="center"/>
    </xf>
    <xf numFmtId="165" fontId="145" fillId="29" borderId="0" xfId="0" applyNumberFormat="1" applyFont="1" applyFill="1" applyAlignment="1">
      <alignment horizontal="right" vertical="center"/>
    </xf>
    <xf numFmtId="0" fontId="146" fillId="29" borderId="0" xfId="0" applyFont="1" applyFill="1" applyAlignment="1">
      <alignment horizontal="center" vertical="center"/>
    </xf>
    <xf numFmtId="165" fontId="145" fillId="30" borderId="0" xfId="0" applyNumberFormat="1" applyFont="1" applyFill="1" applyAlignment="1">
      <alignment horizontal="right" vertical="center"/>
    </xf>
    <xf numFmtId="168" fontId="133" fillId="30" borderId="0" xfId="0" applyNumberFormat="1" applyFont="1" applyFill="1" applyAlignment="1">
      <alignment horizontal="right" vertical="center"/>
    </xf>
    <xf numFmtId="0" fontId="146" fillId="30" borderId="0" xfId="0" applyFont="1" applyFill="1" applyAlignment="1">
      <alignment horizontal="center" vertical="center"/>
    </xf>
    <xf numFmtId="0" fontId="147" fillId="29" borderId="0" xfId="0" applyFont="1" applyFill="1" applyAlignment="1">
      <alignment horizontal="center" vertical="center"/>
    </xf>
    <xf numFmtId="0" fontId="86" fillId="28" borderId="0" xfId="0" applyFont="1" applyFill="1" applyAlignment="1">
      <alignment horizontal="left" vertical="center"/>
    </xf>
    <xf numFmtId="0" fontId="130" fillId="29" borderId="0" xfId="0" applyFont="1" applyFill="1" applyAlignment="1">
      <alignment horizontal="left" vertical="center" wrapText="1"/>
    </xf>
    <xf numFmtId="0" fontId="133" fillId="29" borderId="0" xfId="0" applyFont="1" applyFill="1" applyAlignment="1">
      <alignment horizontal="left" vertical="center" wrapText="1"/>
    </xf>
    <xf numFmtId="0" fontId="130" fillId="30" borderId="0" xfId="0" applyFont="1" applyFill="1" applyAlignment="1">
      <alignment horizontal="left" vertical="center" wrapText="1"/>
    </xf>
    <xf numFmtId="0" fontId="133" fillId="30" borderId="0" xfId="0" applyFont="1" applyFill="1" applyAlignment="1">
      <alignment horizontal="left" vertical="center" wrapText="1"/>
    </xf>
    <xf numFmtId="0" fontId="134" fillId="29" borderId="0" xfId="0" applyFont="1" applyFill="1" applyAlignment="1">
      <alignment horizontal="left" vertical="center" wrapText="1"/>
    </xf>
    <xf numFmtId="0" fontId="134" fillId="30" borderId="0" xfId="0" applyFont="1" applyFill="1" applyAlignment="1">
      <alignment horizontal="left" vertical="center" wrapText="1"/>
    </xf>
    <xf numFmtId="0" fontId="148" fillId="29" borderId="0" xfId="0" applyFont="1" applyFill="1" applyAlignment="1">
      <alignment horizontal="left" vertical="center" wrapText="1"/>
    </xf>
    <xf numFmtId="0" fontId="149" fillId="29" borderId="0" xfId="0" applyFont="1" applyFill="1" applyAlignment="1">
      <alignment horizontal="center" vertical="center"/>
    </xf>
    <xf numFmtId="0" fontId="121" fillId="29" borderId="0" xfId="0" applyFont="1" applyFill="1" applyAlignment="1">
      <alignment horizontal="left" vertical="center" wrapText="1"/>
    </xf>
    <xf numFmtId="0" fontId="149" fillId="30" borderId="0" xfId="0" applyFont="1" applyFill="1" applyAlignment="1">
      <alignment horizontal="center" vertical="center"/>
    </xf>
    <xf numFmtId="0" fontId="121" fillId="30" borderId="0" xfId="0" applyFont="1" applyFill="1" applyAlignment="1">
      <alignment horizontal="left" vertical="center" wrapText="1"/>
    </xf>
    <xf numFmtId="0" fontId="12" fillId="7" borderId="0" xfId="0" applyFont="1" applyFill="1" applyAlignment="1">
      <alignment horizontal="left" vertical="center" wrapText="1"/>
    </xf>
    <xf numFmtId="0" fontId="0" fillId="0" borderId="0" xfId="0"/>
    <xf numFmtId="0" fontId="17" fillId="7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left" vertical="center" wrapText="1"/>
    </xf>
    <xf numFmtId="0" fontId="14" fillId="7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left" vertical="center" wrapText="1"/>
    </xf>
    <xf numFmtId="0" fontId="10" fillId="7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left" vertical="center" wrapText="1"/>
    </xf>
    <xf numFmtId="0" fontId="15" fillId="5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11" fillId="5" borderId="0" xfId="0" applyFont="1" applyFill="1" applyAlignment="1">
      <alignment horizontal="left" vertical="center" wrapText="1"/>
    </xf>
    <xf numFmtId="0" fontId="16" fillId="5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left" indent="1"/>
    </xf>
    <xf numFmtId="0" fontId="31" fillId="15" borderId="0" xfId="0" applyFont="1" applyFill="1" applyAlignment="1">
      <alignment horizontal="left" vertical="center" indent="2"/>
    </xf>
    <xf numFmtId="0" fontId="70" fillId="15" borderId="0" xfId="0" applyFont="1" applyFill="1" applyAlignment="1">
      <alignment horizontal="center" vertical="center"/>
    </xf>
    <xf numFmtId="0" fontId="61" fillId="19" borderId="0" xfId="0" applyFont="1" applyFill="1" applyAlignment="1">
      <alignment horizontal="center" vertical="center"/>
    </xf>
    <xf numFmtId="0" fontId="42" fillId="15" borderId="0" xfId="0" applyFont="1" applyFill="1" applyAlignment="1">
      <alignment horizontal="left" vertical="center"/>
    </xf>
    <xf numFmtId="0" fontId="71" fillId="18" borderId="0" xfId="0" applyFont="1" applyFill="1" applyAlignment="1">
      <alignment horizontal="center" vertical="center"/>
    </xf>
    <xf numFmtId="0" fontId="19" fillId="15" borderId="0" xfId="0" applyFont="1" applyFill="1" applyAlignment="1">
      <alignment horizontal="left" vertical="center"/>
    </xf>
    <xf numFmtId="0" fontId="37" fillId="15" borderId="0" xfId="0" applyFont="1" applyFill="1" applyAlignment="1">
      <alignment horizontal="right" vertical="center"/>
    </xf>
    <xf numFmtId="0" fontId="73" fillId="15" borderId="0" xfId="0" applyFont="1" applyFill="1" applyAlignment="1">
      <alignment horizontal="center" vertical="center"/>
    </xf>
    <xf numFmtId="0" fontId="72" fillId="18" borderId="0" xfId="0" applyFont="1" applyFill="1" applyAlignment="1">
      <alignment horizontal="center" vertical="center"/>
    </xf>
    <xf numFmtId="0" fontId="71" fillId="15" borderId="0" xfId="0" applyFont="1" applyFill="1" applyAlignment="1">
      <alignment horizontal="center" vertical="center"/>
    </xf>
    <xf numFmtId="0" fontId="60" fillId="18" borderId="0" xfId="0" applyFont="1" applyFill="1" applyAlignment="1">
      <alignment horizontal="center" vertical="center"/>
    </xf>
    <xf numFmtId="0" fontId="38" fillId="15" borderId="0" xfId="0" applyFont="1" applyFill="1" applyAlignment="1">
      <alignment horizontal="left" vertical="center"/>
    </xf>
    <xf numFmtId="0" fontId="65" fillId="18" borderId="0" xfId="0" applyFont="1" applyFill="1" applyAlignment="1">
      <alignment horizontal="center" vertical="center"/>
    </xf>
    <xf numFmtId="0" fontId="25" fillId="15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left" vertical="center"/>
    </xf>
    <xf numFmtId="0" fontId="32" fillId="15" borderId="0" xfId="0" applyFont="1" applyFill="1" applyAlignment="1">
      <alignment horizontal="left" vertical="center" indent="2"/>
    </xf>
    <xf numFmtId="0" fontId="47" fillId="16" borderId="6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20" fillId="2" borderId="0" xfId="0" applyFont="1" applyFill="1" applyAlignment="1">
      <alignment horizontal="left" vertical="center"/>
    </xf>
    <xf numFmtId="165" fontId="63" fillId="15" borderId="0" xfId="0" applyNumberFormat="1" applyFont="1" applyFill="1" applyAlignment="1">
      <alignment horizontal="center" vertical="center"/>
    </xf>
    <xf numFmtId="0" fontId="75" fillId="19" borderId="0" xfId="0" applyFont="1" applyFill="1" applyAlignment="1">
      <alignment horizontal="center" vertical="center"/>
    </xf>
    <xf numFmtId="0" fontId="75" fillId="19" borderId="0" xfId="0" applyFont="1" applyFill="1" applyAlignment="1">
      <alignment horizontal="left" vertical="center"/>
    </xf>
    <xf numFmtId="0" fontId="47" fillId="16" borderId="7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74" fillId="18" borderId="0" xfId="0" applyFont="1" applyFill="1" applyAlignment="1">
      <alignment horizontal="center" vertical="center"/>
    </xf>
    <xf numFmtId="0" fontId="36" fillId="15" borderId="1" xfId="0" applyFont="1" applyFill="1" applyBorder="1" applyAlignment="1">
      <alignment horizontal="left" vertical="center"/>
    </xf>
    <xf numFmtId="0" fontId="0" fillId="0" borderId="1" xfId="0" applyBorder="1"/>
    <xf numFmtId="0" fontId="32" fillId="15" borderId="0" xfId="0" applyFont="1" applyFill="1" applyAlignment="1">
      <alignment horizontal="left" vertical="center" indent="1"/>
    </xf>
    <xf numFmtId="0" fontId="62" fillId="18" borderId="0" xfId="0" applyFont="1" applyFill="1" applyAlignment="1">
      <alignment horizontal="center" vertical="center"/>
    </xf>
    <xf numFmtId="0" fontId="26" fillId="15" borderId="0" xfId="0" applyFont="1" applyFill="1" applyAlignment="1">
      <alignment horizontal="left" vertical="center" indent="1"/>
    </xf>
    <xf numFmtId="0" fontId="69" fillId="15" borderId="0" xfId="0" applyFont="1" applyFill="1" applyAlignment="1">
      <alignment horizontal="center" vertical="center"/>
    </xf>
    <xf numFmtId="0" fontId="29" fillId="15" borderId="0" xfId="0" applyFont="1" applyFill="1" applyAlignment="1">
      <alignment horizontal="left" vertical="center" indent="1"/>
    </xf>
    <xf numFmtId="165" fontId="62" fillId="15" borderId="0" xfId="0" applyNumberFormat="1" applyFont="1" applyFill="1" applyAlignment="1">
      <alignment horizontal="center" vertical="center"/>
    </xf>
    <xf numFmtId="0" fontId="69" fillId="2" borderId="0" xfId="0" applyFont="1" applyFill="1" applyAlignment="1">
      <alignment horizontal="left" vertical="center"/>
    </xf>
    <xf numFmtId="0" fontId="62" fillId="15" borderId="0" xfId="0" applyFont="1" applyFill="1" applyAlignment="1">
      <alignment horizontal="center" vertical="center"/>
    </xf>
    <xf numFmtId="0" fontId="59" fillId="18" borderId="0" xfId="0" applyFont="1" applyFill="1" applyAlignment="1">
      <alignment horizontal="center" vertical="center"/>
    </xf>
    <xf numFmtId="0" fontId="69" fillId="18" borderId="0" xfId="0" applyFont="1" applyFill="1" applyAlignment="1">
      <alignment horizontal="center" vertical="center"/>
    </xf>
    <xf numFmtId="0" fontId="41" fillId="15" borderId="0" xfId="0" applyFont="1" applyFill="1" applyAlignment="1">
      <alignment horizontal="left" vertical="center"/>
    </xf>
    <xf numFmtId="0" fontId="72" fillId="15" borderId="0" xfId="0" applyFont="1" applyFill="1" applyAlignment="1">
      <alignment horizontal="center" vertical="center"/>
    </xf>
    <xf numFmtId="0" fontId="43" fillId="15" borderId="0" xfId="0" applyFont="1" applyFill="1" applyAlignment="1">
      <alignment horizontal="left" vertical="center"/>
    </xf>
    <xf numFmtId="0" fontId="61" fillId="18" borderId="0" xfId="0" applyFont="1" applyFill="1" applyAlignment="1">
      <alignment horizontal="center" vertical="center"/>
    </xf>
    <xf numFmtId="0" fontId="47" fillId="16" borderId="2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47" fillId="16" borderId="5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47" fillId="16" borderId="3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70" fillId="18" borderId="0" xfId="0" applyFont="1" applyFill="1" applyAlignment="1">
      <alignment horizontal="center" vertical="center"/>
    </xf>
    <xf numFmtId="0" fontId="74" fillId="15" borderId="0" xfId="0" applyFont="1" applyFill="1" applyAlignment="1">
      <alignment horizontal="center" vertical="center"/>
    </xf>
    <xf numFmtId="0" fontId="67" fillId="2" borderId="0" xfId="0" applyFont="1" applyFill="1" applyAlignment="1">
      <alignment horizontal="left" vertical="center"/>
    </xf>
    <xf numFmtId="10" fontId="28" fillId="15" borderId="0" xfId="0" applyNumberFormat="1" applyFont="1" applyFill="1" applyAlignment="1">
      <alignment horizontal="left" vertical="center" indent="1"/>
    </xf>
    <xf numFmtId="0" fontId="66" fillId="2" borderId="0" xfId="0" applyFont="1" applyFill="1" applyAlignment="1">
      <alignment horizontal="left" vertical="center"/>
    </xf>
    <xf numFmtId="0" fontId="39" fillId="15" borderId="0" xfId="0" applyFont="1" applyFill="1" applyAlignment="1">
      <alignment horizontal="left" vertical="center"/>
    </xf>
    <xf numFmtId="0" fontId="40" fillId="15" borderId="0" xfId="0" applyFont="1" applyFill="1" applyAlignment="1">
      <alignment horizontal="left" vertical="center"/>
    </xf>
    <xf numFmtId="0" fontId="47" fillId="16" borderId="4" xfId="0" applyFont="1" applyFill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73" fillId="18" borderId="0" xfId="0" applyFont="1" applyFill="1" applyAlignment="1">
      <alignment horizontal="center" vertical="center"/>
    </xf>
    <xf numFmtId="0" fontId="58" fillId="2" borderId="0" xfId="0" applyFont="1" applyFill="1" applyAlignment="1">
      <alignment horizontal="left" vertical="center"/>
    </xf>
    <xf numFmtId="164" fontId="27" fillId="15" borderId="0" xfId="0" applyNumberFormat="1" applyFont="1" applyFill="1" applyAlignment="1">
      <alignment horizontal="left" vertical="center" indent="1"/>
    </xf>
    <xf numFmtId="0" fontId="30" fillId="15" borderId="0" xfId="0" applyFont="1" applyFill="1" applyAlignment="1">
      <alignment horizontal="left" vertical="center" indent="2"/>
    </xf>
    <xf numFmtId="0" fontId="20" fillId="15" borderId="0" xfId="0" applyFont="1" applyFill="1" applyAlignment="1">
      <alignment horizontal="center" vertical="center"/>
    </xf>
    <xf numFmtId="0" fontId="0" fillId="20" borderId="0" xfId="0" applyFill="1"/>
    <xf numFmtId="0" fontId="79" fillId="20" borderId="0" xfId="0" applyFont="1" applyFill="1" applyAlignment="1">
      <alignment horizontal="center" vertical="center" wrapText="1"/>
    </xf>
    <xf numFmtId="166" fontId="82" fillId="21" borderId="0" xfId="0" applyNumberFormat="1" applyFont="1" applyFill="1" applyAlignment="1">
      <alignment horizontal="center" vertical="center"/>
    </xf>
    <xf numFmtId="165" fontId="81" fillId="21" borderId="0" xfId="0" applyNumberFormat="1" applyFont="1" applyFill="1" applyAlignment="1">
      <alignment horizontal="center" vertical="center"/>
    </xf>
    <xf numFmtId="166" fontId="83" fillId="21" borderId="0" xfId="0" applyNumberFormat="1" applyFont="1" applyFill="1" applyAlignment="1">
      <alignment horizontal="center" vertical="center"/>
    </xf>
    <xf numFmtId="0" fontId="84" fillId="21" borderId="0" xfId="0" applyFont="1" applyFill="1" applyAlignment="1">
      <alignment horizontal="center" vertical="center"/>
    </xf>
    <xf numFmtId="0" fontId="89" fillId="0" borderId="0" xfId="0" applyFont="1"/>
    <xf numFmtId="0" fontId="78" fillId="0" borderId="0" xfId="0" applyFont="1" applyAlignment="1">
      <alignment horizontal="left" vertical="center"/>
    </xf>
    <xf numFmtId="0" fontId="77" fillId="0" borderId="0" xfId="0" applyFont="1" applyAlignment="1">
      <alignment horizontal="left" vertical="center"/>
    </xf>
    <xf numFmtId="165" fontId="80" fillId="21" borderId="0" xfId="0" applyNumberFormat="1" applyFont="1" applyFill="1" applyAlignment="1">
      <alignment horizontal="center" vertical="center"/>
    </xf>
    <xf numFmtId="0" fontId="85" fillId="22" borderId="0" xfId="0" applyFont="1" applyFill="1" applyAlignment="1">
      <alignment horizontal="left" vertical="center"/>
    </xf>
    <xf numFmtId="0" fontId="90" fillId="4" borderId="0" xfId="0" applyFont="1" applyFill="1" applyAlignment="1">
      <alignment horizontal="center" vertical="center" wrapText="1"/>
    </xf>
    <xf numFmtId="0" fontId="94" fillId="7" borderId="0" xfId="0" applyFont="1" applyFill="1" applyAlignment="1">
      <alignment horizontal="left" vertical="center" wrapText="1"/>
    </xf>
    <xf numFmtId="0" fontId="111" fillId="7" borderId="12" xfId="0" applyFont="1" applyFill="1" applyBorder="1" applyAlignment="1">
      <alignment horizontal="left" vertical="center" wrapText="1"/>
    </xf>
    <xf numFmtId="0" fontId="0" fillId="0" borderId="12" xfId="0" applyBorder="1"/>
    <xf numFmtId="0" fontId="94" fillId="5" borderId="0" xfId="0" applyFont="1" applyFill="1" applyAlignment="1">
      <alignment horizontal="left" vertical="center" wrapText="1"/>
    </xf>
    <xf numFmtId="0" fontId="93" fillId="7" borderId="12" xfId="0" applyFont="1" applyFill="1" applyBorder="1" applyAlignment="1">
      <alignment horizontal="left" vertical="center" wrapText="1"/>
    </xf>
    <xf numFmtId="0" fontId="97" fillId="7" borderId="12" xfId="0" applyFont="1" applyFill="1" applyBorder="1" applyAlignment="1">
      <alignment horizontal="left" vertical="center" wrapText="1"/>
    </xf>
    <xf numFmtId="0" fontId="109" fillId="7" borderId="1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D26A"/>
      <rgbColor rgb="FF0000FF"/>
      <rgbColor rgb="FF0F172A"/>
      <rgbColor rgb="FFEF4444"/>
      <rgbColor rgb="FF22C55E"/>
      <rgbColor rgb="FFB00020"/>
      <rgbColor rgb="FF008000"/>
      <rgbColor rgb="FF0A1830"/>
      <rgbColor rgb="FFE74C3C"/>
      <rgbColor rgb="FF1A2332"/>
      <rgbColor rgb="FF0E7C7B"/>
      <rgbColor rgb="FFBFBFBF"/>
      <rgbColor rgb="FF7F7F7F"/>
      <rgbColor rgb="FF7CA8D4"/>
      <rgbColor rgb="FF7B2FBE"/>
      <rgbColor rgb="FFF8F9FA"/>
      <rgbColor rgb="FFE6EDF3"/>
      <rgbColor rgb="FF1C2333"/>
      <rgbColor rgb="FFEC4899"/>
      <rgbColor rgb="FF2E75B6"/>
      <rgbColor rgb="FF4A9EDB"/>
      <rgbColor rgb="FF0A1628"/>
      <rgbColor rgb="FF2C3E50"/>
      <rgbColor rgb="FF0A1520"/>
      <rgbColor rgb="FF1C2B3A"/>
      <rgbColor rgb="FF1F3148"/>
      <rgbColor rgb="FF0D0D0D"/>
      <rgbColor rgb="FF475569"/>
      <rgbColor rgb="FF0F1B2D"/>
      <rgbColor rgb="FF06B6D4"/>
      <rgbColor rgb="FFF2F2F2"/>
      <rgbColor rgb="FF111827"/>
      <rgbColor rgb="FF0D1117"/>
      <rgbColor rgb="FFA8C8E8"/>
      <rgbColor rgb="FFA855F7"/>
      <rgbColor rgb="FF94A3B8"/>
      <rgbColor rgb="FF162234"/>
      <rgbColor rgb="FF3B82F6"/>
      <rgbColor rgb="FF2ECC71"/>
      <rgbColor rgb="FF70AD47"/>
      <rgbColor rgb="FFEAB308"/>
      <rgbColor rgb="FFDAA520"/>
      <rgbColor rgb="FFF97316"/>
      <rgbColor rgb="FF64748B"/>
      <rgbColor rgb="FF8899AA"/>
      <rgbColor rgb="FF1E3966"/>
      <rgbColor rgb="FF3A7D44"/>
      <rgbColor rgb="FF161B22"/>
      <rgbColor rgb="FF1F2D3D"/>
      <rgbColor rgb="FFD4640C"/>
      <rgbColor rgb="FF595959"/>
      <rgbColor rgb="FF1F3864"/>
      <rgbColor rgb="FF2D37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view3D>
      <c:rotX val="15"/>
      <c:rotY val="20"/>
      <c:rAngAx val="1"/>
    </c:view3D>
    <c:floor>
      <c:thickness val="0"/>
      <c:spPr>
        <a:noFill/>
        <a:ln w="9360">
          <a:noFill/>
          <a:prstDash val="solid"/>
        </a:ln>
      </c:spPr>
    </c:floor>
    <c:sideWall>
      <c:thickness val="0"/>
      <c:spPr>
        <a:noFill/>
        <a:ln w="9360">
          <a:noFill/>
          <a:prstDash val="solid"/>
        </a:ln>
      </c:spPr>
    </c:sideWall>
    <c:backWall>
      <c:thickness val="0"/>
      <c:spPr>
        <a:noFill/>
        <a:ln w="9360">
          <a:noFill/>
          <a:prstDash val="solid"/>
        </a:ln>
      </c:spPr>
    </c:backWall>
    <c:plotArea>
      <c:layout>
        <c:manualLayout>
          <c:layoutTarget val="inner"/>
          <c:xMode val="edge"/>
          <c:yMode val="edge"/>
          <c:x val="0.28067467754382103"/>
          <c:y val="0.176113360323887"/>
          <c:w val="0.64810935949729898"/>
          <c:h val="0.49612010796221301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'📊 Executive Dashboard'!$W$57</c:f>
              <c:strCache>
                <c:ptCount val="1"/>
                <c:pt idx="0">
                  <c:v>Occupancy (%)</c:v>
                </c:pt>
              </c:strCache>
            </c:strRef>
          </c:tx>
          <c:spPr>
            <a:solidFill>
              <a:srgbClr val="F97316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Executive Dashboard'!$V$58:$V$62</c:f>
              <c:strCache>
                <c:ptCount val="5"/>
                <c:pt idx="0">
                  <c:v>The Meridian</c:v>
                </c:pt>
                <c:pt idx="1">
                  <c:v>Parkview Plaza</c:v>
                </c:pt>
                <c:pt idx="2">
                  <c:v>Oakwood Lofts</c:v>
                </c:pt>
                <c:pt idx="3">
                  <c:v>Summit Towers</c:v>
                </c:pt>
                <c:pt idx="4">
                  <c:v>River's Edge</c:v>
                </c:pt>
              </c:strCache>
            </c:strRef>
          </c:cat>
          <c:val>
            <c:numRef>
              <c:f>'📊 Executive Dashboard'!$W$58:$W$62</c:f>
              <c:numCache>
                <c:formatCode>General</c:formatCode>
                <c:ptCount val="5"/>
                <c:pt idx="0">
                  <c:v>94</c:v>
                </c:pt>
                <c:pt idx="1">
                  <c:v>98</c:v>
                </c:pt>
                <c:pt idx="2">
                  <c:v>88</c:v>
                </c:pt>
                <c:pt idx="3">
                  <c:v>100</c:v>
                </c:pt>
                <c:pt idx="4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A-4859-B5FE-672545736C02}"/>
            </c:ext>
          </c:extLst>
        </c:ser>
        <c:ser>
          <c:idx val="1"/>
          <c:order val="1"/>
          <c:tx>
            <c:strRef>
              <c:f>'📊 Executive Dashboard'!$X$57</c:f>
              <c:strCache>
                <c:ptCount val="1"/>
                <c:pt idx="0">
                  <c:v>NOI ($K)</c:v>
                </c:pt>
              </c:strCache>
            </c:strRef>
          </c:tx>
          <c:spPr>
            <a:solidFill>
              <a:srgbClr val="06B6D4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Executive Dashboard'!$V$58:$V$62</c:f>
              <c:strCache>
                <c:ptCount val="5"/>
                <c:pt idx="0">
                  <c:v>The Meridian</c:v>
                </c:pt>
                <c:pt idx="1">
                  <c:v>Parkview Plaza</c:v>
                </c:pt>
                <c:pt idx="2">
                  <c:v>Oakwood Lofts</c:v>
                </c:pt>
                <c:pt idx="3">
                  <c:v>Summit Towers</c:v>
                </c:pt>
                <c:pt idx="4">
                  <c:v>River's Edge</c:v>
                </c:pt>
              </c:strCache>
            </c:strRef>
          </c:cat>
          <c:val>
            <c:numRef>
              <c:f>'📊 Executive Dashboard'!$X$58:$X$62</c:f>
              <c:numCache>
                <c:formatCode>General</c:formatCode>
                <c:ptCount val="5"/>
                <c:pt idx="0">
                  <c:v>23.7</c:v>
                </c:pt>
                <c:pt idx="1">
                  <c:v>40</c:v>
                </c:pt>
                <c:pt idx="2">
                  <c:v>18.5</c:v>
                </c:pt>
                <c:pt idx="3">
                  <c:v>57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FA-4859-B5FE-672545736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6135745"/>
        <c:axId val="98523522"/>
        <c:axId val="0"/>
      </c:bar3DChart>
      <c:catAx>
        <c:axId val="6613574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94A3B8"/>
                </a:solidFill>
                <a:latin typeface="Calibri"/>
              </a:defRPr>
            </a:pPr>
            <a:endParaRPr lang="en-US"/>
          </a:p>
        </c:txPr>
        <c:crossAx val="98523522"/>
        <c:crosses val="autoZero"/>
        <c:auto val="1"/>
        <c:lblAlgn val="ctr"/>
        <c:lblOffset val="100"/>
        <c:noMultiLvlLbl val="0"/>
      </c:catAx>
      <c:valAx>
        <c:axId val="985235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6135745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0D1117"/>
    </a:solidFill>
    <a:ln w="9360"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8640</xdr:colOff>
      <xdr:row>37</xdr:row>
      <xdr:rowOff>83160</xdr:rowOff>
    </xdr:from>
    <xdr:to>
      <xdr:col>27</xdr:col>
      <xdr:colOff>39240</xdr:colOff>
      <xdr:row>49</xdr:row>
      <xdr:rowOff>64080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D26A"/>
  </sheetPr>
  <dimension ref="A1:S49"/>
  <sheetViews>
    <sheetView showGridLines="0" zoomScaleNormal="100" workbookViewId="0"/>
  </sheetViews>
  <sheetFormatPr defaultColWidth="8.6328125" defaultRowHeight="14.5" x14ac:dyDescent="0.35"/>
  <cols>
    <col min="1" max="19" width="20.7265625" customWidth="1"/>
  </cols>
  <sheetData>
    <row r="1" spans="1:19" ht="15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6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"/>
      <c r="Q3" s="1"/>
      <c r="R3" s="1"/>
      <c r="S3" s="1"/>
    </row>
    <row r="4" spans="1:19" ht="15.75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"/>
      <c r="Q4" s="1"/>
      <c r="R4" s="1"/>
      <c r="S4" s="1"/>
    </row>
    <row r="5" spans="1:19" ht="60" customHeight="1" x14ac:dyDescent="0.35">
      <c r="A5" s="3"/>
      <c r="B5" s="310" t="s">
        <v>76</v>
      </c>
      <c r="C5" s="304"/>
      <c r="D5" s="304"/>
      <c r="E5" s="304"/>
      <c r="F5" s="304"/>
      <c r="G5" s="304"/>
      <c r="H5" s="304"/>
      <c r="I5" s="304"/>
      <c r="J5" s="304"/>
      <c r="K5" s="304"/>
      <c r="L5" s="304"/>
      <c r="M5" s="304"/>
      <c r="N5" s="304"/>
      <c r="O5" s="3"/>
      <c r="P5" s="1"/>
      <c r="Q5" s="1"/>
      <c r="R5" s="1"/>
      <c r="S5" s="1"/>
    </row>
    <row r="6" spans="1:19" ht="30" customHeight="1" x14ac:dyDescent="0.35">
      <c r="A6" s="3"/>
      <c r="B6" s="309" t="s">
        <v>77</v>
      </c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  <c r="N6" s="304"/>
      <c r="O6" s="3"/>
      <c r="P6" s="1"/>
      <c r="Q6" s="1"/>
      <c r="R6" s="1"/>
      <c r="S6" s="1"/>
    </row>
    <row r="7" spans="1:19" ht="19.5" customHeight="1" x14ac:dyDescent="0.35">
      <c r="A7" s="3"/>
      <c r="B7" s="313" t="s">
        <v>78</v>
      </c>
      <c r="C7" s="304"/>
      <c r="D7" s="304"/>
      <c r="E7" s="304"/>
      <c r="F7" s="304"/>
      <c r="G7" s="304"/>
      <c r="H7" s="304"/>
      <c r="I7" s="304"/>
      <c r="J7" s="304"/>
      <c r="K7" s="304"/>
      <c r="L7" s="304"/>
      <c r="M7" s="304"/>
      <c r="N7" s="304"/>
      <c r="O7" s="3"/>
      <c r="P7" s="1"/>
      <c r="Q7" s="1"/>
      <c r="R7" s="1"/>
      <c r="S7" s="1"/>
    </row>
    <row r="8" spans="1:19" ht="19.5" customHeight="1" x14ac:dyDescent="0.35">
      <c r="A8" s="3"/>
      <c r="B8" s="4" t="s">
        <v>79</v>
      </c>
      <c r="C8" s="5" t="str">
        <f>'📊 Executive Dashboard'!S2</f>
        <v>Enter Client Name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"/>
      <c r="Q8" s="1"/>
      <c r="R8" s="1"/>
      <c r="S8" s="1"/>
    </row>
    <row r="9" spans="1:19" ht="15.75" customHeight="1" x14ac:dyDescent="0.35">
      <c r="A9" s="3"/>
      <c r="B9" s="306" t="s">
        <v>80</v>
      </c>
      <c r="C9" s="304"/>
      <c r="D9" s="304"/>
      <c r="E9" s="304"/>
      <c r="F9" s="304"/>
      <c r="G9" s="304"/>
      <c r="H9" s="304"/>
      <c r="I9" s="304"/>
      <c r="J9" s="304"/>
      <c r="K9" s="304"/>
      <c r="L9" s="304"/>
      <c r="M9" s="304"/>
      <c r="N9" s="304"/>
      <c r="O9" s="3"/>
      <c r="P9" s="1"/>
      <c r="Q9" s="1"/>
      <c r="R9" s="1"/>
      <c r="S9" s="1"/>
    </row>
    <row r="10" spans="1:19" ht="3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1"/>
      <c r="Q10" s="1"/>
      <c r="R10" s="1"/>
      <c r="S10" s="1"/>
    </row>
    <row r="11" spans="1:19" ht="15.7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5.75" customHeight="1" x14ac:dyDescent="0.35">
      <c r="A12" s="1"/>
      <c r="B12" s="317" t="s">
        <v>81</v>
      </c>
      <c r="C12" s="304"/>
      <c r="D12" s="304"/>
      <c r="E12" s="304"/>
      <c r="F12" s="304"/>
      <c r="G12" s="304"/>
      <c r="H12" s="304"/>
      <c r="I12" s="304"/>
      <c r="J12" s="304"/>
      <c r="K12" s="304"/>
      <c r="L12" s="304"/>
      <c r="M12" s="304"/>
      <c r="N12" s="304"/>
      <c r="O12" s="1"/>
      <c r="P12" s="1"/>
      <c r="Q12" s="1"/>
      <c r="R12" s="1"/>
      <c r="S12" s="1"/>
    </row>
    <row r="13" spans="1:19" ht="15.7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4" customHeight="1" x14ac:dyDescent="0.35">
      <c r="A14" s="1"/>
      <c r="B14" s="2" t="s">
        <v>82</v>
      </c>
      <c r="C14" s="314" t="s">
        <v>83</v>
      </c>
      <c r="D14" s="304"/>
      <c r="E14" s="304"/>
      <c r="F14" s="304"/>
      <c r="G14" s="315" t="s">
        <v>84</v>
      </c>
      <c r="H14" s="304"/>
      <c r="I14" s="304"/>
      <c r="J14" s="304"/>
      <c r="K14" s="304"/>
      <c r="L14" s="304"/>
      <c r="M14" s="304"/>
      <c r="N14" s="304"/>
      <c r="O14" s="1"/>
      <c r="P14" s="1"/>
      <c r="Q14" s="1"/>
      <c r="R14" s="1"/>
      <c r="S14" s="1"/>
    </row>
    <row r="15" spans="1:19" ht="24" customHeight="1" x14ac:dyDescent="0.35">
      <c r="A15" s="1"/>
      <c r="B15" s="7" t="s">
        <v>82</v>
      </c>
      <c r="C15" s="312" t="s">
        <v>85</v>
      </c>
      <c r="D15" s="304"/>
      <c r="E15" s="304"/>
      <c r="F15" s="304"/>
      <c r="G15" s="307" t="s">
        <v>86</v>
      </c>
      <c r="H15" s="304"/>
      <c r="I15" s="304"/>
      <c r="J15" s="304"/>
      <c r="K15" s="304"/>
      <c r="L15" s="304"/>
      <c r="M15" s="304"/>
      <c r="N15" s="304"/>
      <c r="O15" s="1"/>
      <c r="P15" s="1"/>
      <c r="Q15" s="1"/>
      <c r="R15" s="1"/>
      <c r="S15" s="1"/>
    </row>
    <row r="16" spans="1:19" ht="24" customHeight="1" x14ac:dyDescent="0.35">
      <c r="A16" s="1"/>
      <c r="B16" s="9" t="s">
        <v>82</v>
      </c>
      <c r="C16" s="318" t="s">
        <v>87</v>
      </c>
      <c r="D16" s="304"/>
      <c r="E16" s="304"/>
      <c r="F16" s="304"/>
      <c r="G16" s="315" t="s">
        <v>88</v>
      </c>
      <c r="H16" s="304"/>
      <c r="I16" s="304"/>
      <c r="J16" s="304"/>
      <c r="K16" s="304"/>
      <c r="L16" s="304"/>
      <c r="M16" s="304"/>
      <c r="N16" s="304"/>
      <c r="O16" s="1"/>
      <c r="P16" s="1"/>
      <c r="Q16" s="1"/>
      <c r="R16" s="1"/>
      <c r="S16" s="1"/>
    </row>
    <row r="17" spans="1:19" ht="24" customHeight="1" x14ac:dyDescent="0.35">
      <c r="A17" s="1"/>
      <c r="B17" s="10" t="s">
        <v>82</v>
      </c>
      <c r="C17" s="303" t="s">
        <v>89</v>
      </c>
      <c r="D17" s="304"/>
      <c r="E17" s="304"/>
      <c r="F17" s="304"/>
      <c r="G17" s="307" t="s">
        <v>90</v>
      </c>
      <c r="H17" s="304"/>
      <c r="I17" s="304"/>
      <c r="J17" s="304"/>
      <c r="K17" s="304"/>
      <c r="L17" s="304"/>
      <c r="M17" s="304"/>
      <c r="N17" s="304"/>
      <c r="O17" s="1"/>
      <c r="P17" s="1"/>
      <c r="Q17" s="1"/>
      <c r="R17" s="1"/>
      <c r="S17" s="1"/>
    </row>
    <row r="18" spans="1:19" ht="24" customHeight="1" x14ac:dyDescent="0.35">
      <c r="A18" s="1"/>
      <c r="B18" s="11" t="s">
        <v>82</v>
      </c>
      <c r="C18" s="311" t="s">
        <v>91</v>
      </c>
      <c r="D18" s="304"/>
      <c r="E18" s="304"/>
      <c r="F18" s="304"/>
      <c r="G18" s="315" t="s">
        <v>92</v>
      </c>
      <c r="H18" s="304"/>
      <c r="I18" s="304"/>
      <c r="J18" s="304"/>
      <c r="K18" s="304"/>
      <c r="L18" s="304"/>
      <c r="M18" s="304"/>
      <c r="N18" s="304"/>
      <c r="O18" s="1"/>
      <c r="P18" s="1"/>
      <c r="Q18" s="1"/>
      <c r="R18" s="1"/>
      <c r="S18" s="1"/>
    </row>
    <row r="19" spans="1:19" ht="24" customHeight="1" x14ac:dyDescent="0.35">
      <c r="A19" s="1"/>
      <c r="B19" s="12" t="s">
        <v>82</v>
      </c>
      <c r="C19" s="308" t="s">
        <v>93</v>
      </c>
      <c r="D19" s="304"/>
      <c r="E19" s="304"/>
      <c r="F19" s="304"/>
      <c r="G19" s="307" t="s">
        <v>94</v>
      </c>
      <c r="H19" s="304"/>
      <c r="I19" s="304"/>
      <c r="J19" s="304"/>
      <c r="K19" s="304"/>
      <c r="L19" s="304"/>
      <c r="M19" s="304"/>
      <c r="N19" s="304"/>
      <c r="O19" s="1"/>
      <c r="P19" s="1"/>
      <c r="Q19" s="1"/>
      <c r="R19" s="1"/>
      <c r="S19" s="1"/>
    </row>
    <row r="20" spans="1:19" ht="24" customHeight="1" x14ac:dyDescent="0.35">
      <c r="A20" s="1"/>
      <c r="B20" s="13" t="s">
        <v>82</v>
      </c>
      <c r="C20" s="316" t="s">
        <v>95</v>
      </c>
      <c r="D20" s="304"/>
      <c r="E20" s="304"/>
      <c r="F20" s="304"/>
      <c r="G20" s="315" t="s">
        <v>96</v>
      </c>
      <c r="H20" s="304"/>
      <c r="I20" s="304"/>
      <c r="J20" s="304"/>
      <c r="K20" s="304"/>
      <c r="L20" s="304"/>
      <c r="M20" s="304"/>
      <c r="N20" s="304"/>
      <c r="O20" s="1"/>
      <c r="P20" s="1"/>
      <c r="Q20" s="1"/>
      <c r="R20" s="1"/>
      <c r="S20" s="1"/>
    </row>
    <row r="21" spans="1:19" ht="24" customHeight="1" x14ac:dyDescent="0.35">
      <c r="A21" s="1"/>
      <c r="B21" s="2" t="s">
        <v>82</v>
      </c>
      <c r="C21" s="320" t="s">
        <v>97</v>
      </c>
      <c r="D21" s="304"/>
      <c r="E21" s="304"/>
      <c r="F21" s="304"/>
      <c r="G21" s="307" t="s">
        <v>98</v>
      </c>
      <c r="H21" s="304"/>
      <c r="I21" s="304"/>
      <c r="J21" s="304"/>
      <c r="K21" s="304"/>
      <c r="L21" s="304"/>
      <c r="M21" s="304"/>
      <c r="N21" s="304"/>
      <c r="O21" s="1"/>
      <c r="P21" s="1"/>
      <c r="Q21" s="1"/>
      <c r="R21" s="1"/>
      <c r="S21" s="1"/>
    </row>
    <row r="22" spans="1:19" ht="24" customHeight="1" x14ac:dyDescent="0.35">
      <c r="A22" s="1"/>
      <c r="B22" s="14" t="s">
        <v>82</v>
      </c>
      <c r="C22" s="319" t="s">
        <v>99</v>
      </c>
      <c r="D22" s="304"/>
      <c r="E22" s="304"/>
      <c r="F22" s="304"/>
      <c r="G22" s="315" t="s">
        <v>100</v>
      </c>
      <c r="H22" s="304"/>
      <c r="I22" s="304"/>
      <c r="J22" s="304"/>
      <c r="K22" s="304"/>
      <c r="L22" s="304"/>
      <c r="M22" s="304"/>
      <c r="N22" s="304"/>
      <c r="O22" s="1"/>
      <c r="P22" s="1"/>
      <c r="Q22" s="1"/>
      <c r="R22" s="1"/>
      <c r="S22" s="1"/>
    </row>
    <row r="23" spans="1:19" ht="24" customHeight="1" x14ac:dyDescent="0.35">
      <c r="A23" s="1"/>
      <c r="B23" s="15" t="s">
        <v>82</v>
      </c>
      <c r="C23" s="305" t="s">
        <v>101</v>
      </c>
      <c r="D23" s="304"/>
      <c r="E23" s="304"/>
      <c r="F23" s="304"/>
      <c r="G23" s="307" t="s">
        <v>102</v>
      </c>
      <c r="H23" s="304"/>
      <c r="I23" s="304"/>
      <c r="J23" s="304"/>
      <c r="K23" s="304"/>
      <c r="L23" s="304"/>
      <c r="M23" s="304"/>
      <c r="N23" s="304"/>
      <c r="O23" s="1"/>
      <c r="P23" s="1"/>
      <c r="Q23" s="1"/>
      <c r="R23" s="1"/>
      <c r="S23" s="1"/>
    </row>
    <row r="24" spans="1:19" ht="15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5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5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5.7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9.5" customHeight="1" x14ac:dyDescent="0.35">
      <c r="A28" s="1"/>
      <c r="B28" s="321" t="s">
        <v>103</v>
      </c>
      <c r="C28" s="304"/>
      <c r="D28" s="304"/>
      <c r="E28" s="304"/>
      <c r="F28" s="304"/>
      <c r="G28" s="304"/>
      <c r="H28" s="304"/>
      <c r="I28" s="304"/>
      <c r="J28" s="304"/>
      <c r="K28" s="304"/>
      <c r="L28" s="304"/>
      <c r="M28" s="304"/>
      <c r="N28" s="304"/>
      <c r="O28" s="1"/>
      <c r="P28" s="1"/>
      <c r="Q28" s="1"/>
      <c r="R28" s="1"/>
      <c r="S28" s="1"/>
    </row>
    <row r="29" spans="1:19" ht="15.7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5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5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5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5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</sheetData>
  <mergeCells count="26">
    <mergeCell ref="B28:N28"/>
    <mergeCell ref="B6:N6"/>
    <mergeCell ref="G23:N23"/>
    <mergeCell ref="B5:N5"/>
    <mergeCell ref="C18:F18"/>
    <mergeCell ref="G17:N17"/>
    <mergeCell ref="G19:N19"/>
    <mergeCell ref="C15:F15"/>
    <mergeCell ref="B7:N7"/>
    <mergeCell ref="C14:F14"/>
    <mergeCell ref="G18:N18"/>
    <mergeCell ref="G15:N15"/>
    <mergeCell ref="C20:F20"/>
    <mergeCell ref="B12:N12"/>
    <mergeCell ref="C16:F16"/>
    <mergeCell ref="G14:N14"/>
    <mergeCell ref="C22:F22"/>
    <mergeCell ref="C17:F17"/>
    <mergeCell ref="C23:F23"/>
    <mergeCell ref="B9:N9"/>
    <mergeCell ref="G21:N21"/>
    <mergeCell ref="C19:F19"/>
    <mergeCell ref="G20:N20"/>
    <mergeCell ref="G16:N16"/>
    <mergeCell ref="C21:F21"/>
    <mergeCell ref="G22:N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70"/>
  <sheetViews>
    <sheetView zoomScaleNormal="100" workbookViewId="0">
      <selection activeCell="T2" sqref="T2"/>
    </sheetView>
  </sheetViews>
  <sheetFormatPr defaultColWidth="8.6328125" defaultRowHeight="14.5" x14ac:dyDescent="0.35"/>
  <cols>
    <col min="1" max="1" width="1.90625" customWidth="1"/>
    <col min="2" max="2" width="14.6328125" customWidth="1"/>
    <col min="3" max="4" width="15.6328125" customWidth="1"/>
    <col min="5" max="5" width="1.90625" customWidth="1"/>
    <col min="6" max="6" width="14.6328125" customWidth="1"/>
    <col min="7" max="8" width="15.6328125" customWidth="1"/>
    <col min="9" max="9" width="1.90625" customWidth="1"/>
    <col min="10" max="10" width="14.6328125" customWidth="1"/>
    <col min="11" max="12" width="15.6328125" customWidth="1"/>
    <col min="13" max="13" width="1.90625" customWidth="1"/>
    <col min="14" max="14" width="14.6328125" customWidth="1"/>
    <col min="15" max="16" width="15.6328125" customWidth="1"/>
    <col min="17" max="17" width="1.90625" customWidth="1"/>
    <col min="18" max="18" width="14.6328125" customWidth="1"/>
    <col min="19" max="20" width="15.6328125" customWidth="1"/>
    <col min="21" max="21" width="1.90625" customWidth="1"/>
    <col min="22" max="22" width="14.6328125" customWidth="1"/>
    <col min="23" max="24" width="15.6328125" customWidth="1"/>
    <col min="25" max="27" width="16.26953125" hidden="1" customWidth="1"/>
  </cols>
  <sheetData>
    <row r="1" spans="1:34" ht="6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33.75" customHeight="1" x14ac:dyDescent="0.35">
      <c r="A2" s="328" t="s">
        <v>104</v>
      </c>
      <c r="B2" s="304"/>
      <c r="C2" s="304"/>
      <c r="D2" s="304"/>
      <c r="E2" s="304"/>
      <c r="F2" s="304"/>
      <c r="G2" s="304"/>
      <c r="H2" s="304"/>
      <c r="I2" s="304"/>
      <c r="J2" s="16"/>
      <c r="K2" s="389"/>
      <c r="L2" s="304"/>
      <c r="M2" s="304"/>
      <c r="N2" s="304"/>
      <c r="O2" s="304"/>
      <c r="P2" s="304"/>
      <c r="Q2" s="304"/>
      <c r="R2" s="17" t="s">
        <v>79</v>
      </c>
      <c r="S2" s="18" t="s">
        <v>105</v>
      </c>
      <c r="T2" s="19" t="s">
        <v>106</v>
      </c>
      <c r="U2" s="19"/>
      <c r="V2" s="19"/>
      <c r="W2" s="19"/>
      <c r="X2" s="19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7.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5.75" customHeight="1" x14ac:dyDescent="0.35">
      <c r="A4" s="337" t="s">
        <v>107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  <c r="R4" s="304"/>
      <c r="S4" s="304"/>
      <c r="T4" s="304"/>
      <c r="U4" s="304"/>
      <c r="V4" s="304"/>
      <c r="W4" s="304"/>
      <c r="X4" s="304"/>
      <c r="Y4" s="304"/>
      <c r="Z4" s="304"/>
      <c r="AA4" s="1"/>
      <c r="AB4" s="1"/>
      <c r="AC4" s="1"/>
      <c r="AD4" s="1"/>
      <c r="AE4" s="1"/>
      <c r="AF4" s="1"/>
      <c r="AG4" s="1"/>
      <c r="AH4" s="1"/>
    </row>
    <row r="5" spans="1:34" ht="6" customHeigh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4.5" customHeight="1" x14ac:dyDescent="0.35">
      <c r="A6" s="2"/>
      <c r="B6" s="336" t="s">
        <v>108</v>
      </c>
      <c r="C6" s="304"/>
      <c r="D6" s="304"/>
      <c r="E6" s="10"/>
      <c r="F6" s="336" t="s">
        <v>109</v>
      </c>
      <c r="G6" s="304"/>
      <c r="H6" s="304"/>
      <c r="I6" s="12"/>
      <c r="J6" s="336" t="s">
        <v>110</v>
      </c>
      <c r="K6" s="304"/>
      <c r="L6" s="304"/>
      <c r="M6" s="7"/>
      <c r="N6" s="336" t="s">
        <v>111</v>
      </c>
      <c r="O6" s="304"/>
      <c r="P6" s="304"/>
      <c r="Q6" s="13"/>
      <c r="R6" s="336" t="s">
        <v>54</v>
      </c>
      <c r="S6" s="304"/>
      <c r="T6" s="304"/>
      <c r="U6" s="9"/>
      <c r="V6" s="336" t="s">
        <v>9</v>
      </c>
      <c r="W6" s="304"/>
      <c r="X6" s="304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15.75" customHeight="1" x14ac:dyDescent="0.35">
      <c r="A7" s="2"/>
      <c r="B7" s="304"/>
      <c r="C7" s="304"/>
      <c r="D7" s="304"/>
      <c r="E7" s="10"/>
      <c r="F7" s="304"/>
      <c r="G7" s="304"/>
      <c r="H7" s="304"/>
      <c r="I7" s="12"/>
      <c r="J7" s="304"/>
      <c r="K7" s="304"/>
      <c r="L7" s="304"/>
      <c r="M7" s="7"/>
      <c r="N7" s="304"/>
      <c r="O7" s="304"/>
      <c r="P7" s="304"/>
      <c r="Q7" s="13"/>
      <c r="R7" s="304"/>
      <c r="S7" s="304"/>
      <c r="T7" s="304"/>
      <c r="U7" s="9"/>
      <c r="V7" s="304"/>
      <c r="W7" s="304"/>
      <c r="X7" s="304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13.5" customHeight="1" x14ac:dyDescent="0.35">
      <c r="A8" s="2"/>
      <c r="B8" s="304"/>
      <c r="C8" s="304"/>
      <c r="D8" s="304"/>
      <c r="E8" s="10"/>
      <c r="F8" s="304"/>
      <c r="G8" s="304"/>
      <c r="H8" s="304"/>
      <c r="I8" s="12"/>
      <c r="J8" s="304"/>
      <c r="K8" s="304"/>
      <c r="L8" s="304"/>
      <c r="M8" s="7"/>
      <c r="N8" s="304"/>
      <c r="O8" s="304"/>
      <c r="P8" s="304"/>
      <c r="Q8" s="13"/>
      <c r="R8" s="304"/>
      <c r="S8" s="304"/>
      <c r="T8" s="304"/>
      <c r="U8" s="9"/>
      <c r="V8" s="304"/>
      <c r="W8" s="304"/>
      <c r="X8" s="304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3.75" customHeight="1" x14ac:dyDescent="0.35">
      <c r="A9" s="2"/>
      <c r="B9" s="20"/>
      <c r="C9" s="20"/>
      <c r="D9" s="20"/>
      <c r="E9" s="10"/>
      <c r="F9" s="20"/>
      <c r="G9" s="20"/>
      <c r="H9" s="20"/>
      <c r="I9" s="12"/>
      <c r="J9" s="20"/>
      <c r="K9" s="20"/>
      <c r="L9" s="20"/>
      <c r="M9" s="7"/>
      <c r="N9" s="20"/>
      <c r="O9" s="20"/>
      <c r="P9" s="20"/>
      <c r="Q9" s="13"/>
      <c r="R9" s="20"/>
      <c r="S9" s="20"/>
      <c r="T9" s="20"/>
      <c r="U9" s="9"/>
      <c r="V9" s="20"/>
      <c r="W9" s="20"/>
      <c r="X9" s="20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33.75" customHeight="1" x14ac:dyDescent="0.35">
      <c r="A10" s="2"/>
      <c r="B10" s="354" t="str">
        <f>TEXT('⚙️ NOI Engine'!J18/1000,"$#,##0K")</f>
        <v>$180K</v>
      </c>
      <c r="C10" s="304"/>
      <c r="D10" s="304"/>
      <c r="E10" s="10"/>
      <c r="F10" s="387">
        <f>IF('⚙️ NOI Engine'!J19&lt;0,'⚙️ NOI Engine'!J18/(-'⚙️ NOI Engine'!J19),0)</f>
        <v>1.1858214257519539</v>
      </c>
      <c r="G10" s="304"/>
      <c r="H10" s="304"/>
      <c r="I10" s="12"/>
      <c r="J10" s="378" t="str">
        <f>TEXT('🏢 Property Metrics'!D12,"0.0%")</f>
        <v>96.1%</v>
      </c>
      <c r="K10" s="304"/>
      <c r="L10" s="304"/>
      <c r="M10" s="7"/>
      <c r="N10" s="356" t="str">
        <f>TEXT('💵 Operating Cash Flow'!F14,"$#,##0K")</f>
        <v>$162K</v>
      </c>
      <c r="O10" s="304"/>
      <c r="P10" s="304"/>
      <c r="Q10" s="13"/>
      <c r="R10" s="388" t="str">
        <f>TEXT('⚙️ NOI Engine'!J6/1000,"$#,##0K")</f>
        <v>$297K</v>
      </c>
      <c r="S10" s="304"/>
      <c r="T10" s="304"/>
      <c r="U10" s="9"/>
      <c r="V10" s="323" t="str">
        <f>TEXT('💵 Operating Cash Flow'!F6,"$#,##0K")</f>
        <v>$138K</v>
      </c>
      <c r="W10" s="304"/>
      <c r="X10" s="304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4.5" customHeight="1" x14ac:dyDescent="0.35">
      <c r="A11" s="2"/>
      <c r="B11" s="322"/>
      <c r="C11" s="304"/>
      <c r="D11" s="304"/>
      <c r="E11" s="10"/>
      <c r="F11" s="322"/>
      <c r="G11" s="304"/>
      <c r="H11" s="304"/>
      <c r="I11" s="12"/>
      <c r="J11" s="322"/>
      <c r="K11" s="304"/>
      <c r="L11" s="304"/>
      <c r="M11" s="7"/>
      <c r="N11" s="322"/>
      <c r="O11" s="304"/>
      <c r="P11" s="304"/>
      <c r="Q11" s="13"/>
      <c r="R11" s="322"/>
      <c r="S11" s="304"/>
      <c r="T11" s="304"/>
      <c r="U11" s="9"/>
      <c r="V11" s="322"/>
      <c r="W11" s="304"/>
      <c r="X11" s="304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15.75" customHeight="1" x14ac:dyDescent="0.35">
      <c r="A12" s="2"/>
      <c r="B12" s="352" t="s">
        <v>112</v>
      </c>
      <c r="C12" s="304"/>
      <c r="D12" s="304"/>
      <c r="E12" s="10"/>
      <c r="F12" s="352" t="s">
        <v>113</v>
      </c>
      <c r="G12" s="304"/>
      <c r="H12" s="304"/>
      <c r="I12" s="12"/>
      <c r="J12" s="352" t="s">
        <v>114</v>
      </c>
      <c r="K12" s="304"/>
      <c r="L12" s="304"/>
      <c r="M12" s="7"/>
      <c r="N12" s="352" t="s">
        <v>115</v>
      </c>
      <c r="O12" s="304"/>
      <c r="P12" s="304"/>
      <c r="Q12" s="13"/>
      <c r="R12" s="338" t="s">
        <v>116</v>
      </c>
      <c r="S12" s="304"/>
      <c r="T12" s="304"/>
      <c r="U12" s="9"/>
      <c r="V12" s="338" t="s">
        <v>117</v>
      </c>
      <c r="W12" s="304"/>
      <c r="X12" s="304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12.75" customHeight="1" x14ac:dyDescent="0.35">
      <c r="A13" s="2"/>
      <c r="B13" s="22" t="s">
        <v>118</v>
      </c>
      <c r="C13" s="23"/>
      <c r="D13" s="24" t="s">
        <v>119</v>
      </c>
      <c r="E13" s="10"/>
      <c r="F13" s="22" t="s">
        <v>120</v>
      </c>
      <c r="G13" s="23"/>
      <c r="H13" s="24" t="s">
        <v>119</v>
      </c>
      <c r="I13" s="12"/>
      <c r="J13" s="22" t="s">
        <v>121</v>
      </c>
      <c r="K13" s="23"/>
      <c r="L13" s="24" t="s">
        <v>119</v>
      </c>
      <c r="M13" s="7"/>
      <c r="N13" s="22" t="s">
        <v>122</v>
      </c>
      <c r="O13" s="23"/>
      <c r="P13" s="24" t="s">
        <v>119</v>
      </c>
      <c r="Q13" s="13"/>
      <c r="R13" s="25" t="s">
        <v>123</v>
      </c>
      <c r="S13" s="23"/>
      <c r="T13" s="24" t="s">
        <v>119</v>
      </c>
      <c r="U13" s="9"/>
      <c r="V13" s="26" t="s">
        <v>124</v>
      </c>
      <c r="W13" s="23"/>
      <c r="X13" s="24" t="s">
        <v>119</v>
      </c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4.5" customHeight="1" x14ac:dyDescent="0.35">
      <c r="A14" s="2"/>
      <c r="B14" s="20"/>
      <c r="C14" s="20"/>
      <c r="D14" s="20"/>
      <c r="E14" s="10"/>
      <c r="F14" s="20"/>
      <c r="G14" s="20"/>
      <c r="H14" s="20"/>
      <c r="I14" s="12"/>
      <c r="J14" s="20"/>
      <c r="K14" s="20"/>
      <c r="L14" s="20"/>
      <c r="M14" s="7"/>
      <c r="N14" s="21"/>
      <c r="O14" s="21"/>
      <c r="P14" s="21"/>
      <c r="Q14" s="13"/>
      <c r="R14" s="20"/>
      <c r="S14" s="20"/>
      <c r="T14" s="20"/>
      <c r="U14" s="9"/>
      <c r="V14" s="20"/>
      <c r="W14" s="20"/>
      <c r="X14" s="20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7.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15.75" customHeight="1" x14ac:dyDescent="0.35">
      <c r="A16" s="337" t="s">
        <v>125</v>
      </c>
      <c r="B16" s="304"/>
      <c r="C16" s="304"/>
      <c r="D16" s="304"/>
      <c r="E16" s="304"/>
      <c r="F16" s="304"/>
      <c r="G16" s="304"/>
      <c r="H16" s="304"/>
      <c r="I16" s="304"/>
      <c r="J16" s="304"/>
      <c r="K16" s="304"/>
      <c r="L16" s="304"/>
      <c r="M16" s="304"/>
      <c r="N16" s="304"/>
      <c r="O16" s="304"/>
      <c r="P16" s="304"/>
      <c r="Q16" s="304"/>
      <c r="R16" s="304"/>
      <c r="S16" s="304"/>
      <c r="T16" s="304"/>
      <c r="U16" s="304"/>
      <c r="V16" s="304"/>
      <c r="W16" s="304"/>
      <c r="X16" s="304"/>
      <c r="Y16" s="304"/>
      <c r="Z16" s="304"/>
      <c r="AA16" s="1"/>
      <c r="AB16" s="1"/>
      <c r="AC16" s="1"/>
      <c r="AD16" s="1"/>
      <c r="AE16" s="1"/>
      <c r="AF16" s="1"/>
      <c r="AG16" s="1"/>
      <c r="AH16" s="1"/>
    </row>
    <row r="17" spans="1:34" ht="3.75" customHeight="1" x14ac:dyDescent="0.35">
      <c r="A17" s="27"/>
      <c r="B17" s="28"/>
      <c r="C17" s="28"/>
      <c r="D17" s="28"/>
      <c r="E17" s="29"/>
      <c r="F17" s="28"/>
      <c r="G17" s="28"/>
      <c r="H17" s="28"/>
      <c r="I17" s="30"/>
      <c r="J17" s="28"/>
      <c r="K17" s="28"/>
      <c r="L17" s="28"/>
      <c r="M17" s="31"/>
      <c r="N17" s="28"/>
      <c r="O17" s="28"/>
      <c r="P17" s="28"/>
      <c r="Q17" s="32"/>
      <c r="R17" s="28"/>
      <c r="S17" s="28"/>
      <c r="T17" s="28"/>
      <c r="U17" s="33"/>
      <c r="V17" s="28"/>
      <c r="W17" s="28"/>
      <c r="X17" s="28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ht="13.5" customHeight="1" x14ac:dyDescent="0.35">
      <c r="A18" s="27"/>
      <c r="B18" s="350" t="s">
        <v>126</v>
      </c>
      <c r="C18" s="351"/>
      <c r="D18" s="34" t="s">
        <v>127</v>
      </c>
      <c r="E18" s="29"/>
      <c r="F18" s="350" t="s">
        <v>128</v>
      </c>
      <c r="G18" s="351"/>
      <c r="H18" s="34" t="s">
        <v>127</v>
      </c>
      <c r="I18" s="30"/>
      <c r="J18" s="350" t="s">
        <v>129</v>
      </c>
      <c r="K18" s="351"/>
      <c r="L18" s="34" t="s">
        <v>127</v>
      </c>
      <c r="M18" s="31"/>
      <c r="N18" s="350" t="s">
        <v>130</v>
      </c>
      <c r="O18" s="351"/>
      <c r="P18" s="34" t="s">
        <v>127</v>
      </c>
      <c r="Q18" s="32"/>
      <c r="R18" s="350" t="s">
        <v>131</v>
      </c>
      <c r="S18" s="351"/>
      <c r="T18" s="34" t="s">
        <v>127</v>
      </c>
      <c r="U18" s="33"/>
      <c r="V18" s="350" t="s">
        <v>132</v>
      </c>
      <c r="W18" s="351"/>
      <c r="X18" s="34" t="s">
        <v>127</v>
      </c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ht="9.75" customHeight="1" x14ac:dyDescent="0.35">
      <c r="A19" s="27"/>
      <c r="B19" s="329" t="s">
        <v>133</v>
      </c>
      <c r="C19" s="304"/>
      <c r="D19" s="304"/>
      <c r="E19" s="29"/>
      <c r="F19" s="329" t="s">
        <v>134</v>
      </c>
      <c r="G19" s="304"/>
      <c r="H19" s="304"/>
      <c r="I19" s="30"/>
      <c r="J19" s="329" t="s">
        <v>135</v>
      </c>
      <c r="K19" s="304"/>
      <c r="L19" s="304"/>
      <c r="M19" s="31"/>
      <c r="N19" s="329" t="s">
        <v>136</v>
      </c>
      <c r="O19" s="304"/>
      <c r="P19" s="304"/>
      <c r="Q19" s="32"/>
      <c r="R19" s="329" t="s">
        <v>137</v>
      </c>
      <c r="S19" s="304"/>
      <c r="T19" s="304"/>
      <c r="U19" s="33"/>
      <c r="V19" s="329" t="s">
        <v>138</v>
      </c>
      <c r="W19" s="304"/>
      <c r="X19" s="304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ht="33.75" customHeight="1" x14ac:dyDescent="0.35">
      <c r="A20" s="27"/>
      <c r="B20" s="334" t="str">
        <f>TEXT('⚙️ NOI Engine'!J18/1000,"$#,##0K")</f>
        <v>$180K</v>
      </c>
      <c r="C20" s="304"/>
      <c r="D20" s="304"/>
      <c r="E20" s="29"/>
      <c r="F20" s="380" t="str">
        <f>TEXT(IF('⚙️ NOI Engine'!J19&lt;0,'⚙️ NOI Engine'!J18/ABS('⚙️ NOI Engine'!J19),0),"0.00x")</f>
        <v>1.19x</v>
      </c>
      <c r="G20" s="304"/>
      <c r="H20" s="304"/>
      <c r="I20" s="30"/>
      <c r="J20" s="381" t="str">
        <f>TEXT('🏢 Property Metrics'!D12,"0.0%")</f>
        <v>96.1%</v>
      </c>
      <c r="K20" s="304"/>
      <c r="L20" s="304"/>
      <c r="M20" s="31"/>
      <c r="N20" s="362" t="str">
        <f>TEXT('💵 Operating Cash Flow'!F14,"$#,##0K")</f>
        <v>$162K</v>
      </c>
      <c r="O20" s="304"/>
      <c r="P20" s="304"/>
      <c r="Q20" s="32"/>
      <c r="R20" s="326" t="str">
        <f>TEXT('⚙️ NOI Engine'!J6/1000,"$#,##0K")</f>
        <v>$297K</v>
      </c>
      <c r="S20" s="304"/>
      <c r="T20" s="304"/>
      <c r="U20" s="33"/>
      <c r="V20" s="364" t="str">
        <f>TEXT('💵 Operating Cash Flow'!F6,"$#,##0K")</f>
        <v>$138K</v>
      </c>
      <c r="W20" s="304"/>
      <c r="X20" s="304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4.5" customHeight="1" x14ac:dyDescent="0.35">
      <c r="A21" s="27"/>
      <c r="B21" s="28"/>
      <c r="C21" s="28"/>
      <c r="D21" s="28"/>
      <c r="E21" s="29"/>
      <c r="F21" s="28"/>
      <c r="G21" s="28"/>
      <c r="H21" s="28"/>
      <c r="I21" s="30"/>
      <c r="J21" s="28"/>
      <c r="K21" s="28"/>
      <c r="L21" s="28"/>
      <c r="M21" s="31"/>
      <c r="N21" s="28"/>
      <c r="O21" s="28"/>
      <c r="P21" s="28"/>
      <c r="Q21" s="32"/>
      <c r="R21" s="28"/>
      <c r="S21" s="28"/>
      <c r="T21" s="28"/>
      <c r="U21" s="33"/>
      <c r="V21" s="28"/>
      <c r="W21" s="28"/>
      <c r="X21" s="28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10.5" customHeight="1" x14ac:dyDescent="0.35">
      <c r="A22" s="27"/>
      <c r="B22" s="35" t="s">
        <v>139</v>
      </c>
      <c r="C22" s="36" t="s">
        <v>140</v>
      </c>
      <c r="D22" s="37" t="s">
        <v>141</v>
      </c>
      <c r="E22" s="29"/>
      <c r="F22" s="35" t="s">
        <v>139</v>
      </c>
      <c r="G22" s="36" t="s">
        <v>140</v>
      </c>
      <c r="H22" s="37" t="s">
        <v>141</v>
      </c>
      <c r="I22" s="30"/>
      <c r="J22" s="35" t="s">
        <v>139</v>
      </c>
      <c r="K22" s="36" t="s">
        <v>140</v>
      </c>
      <c r="L22" s="37" t="s">
        <v>141</v>
      </c>
      <c r="M22" s="31"/>
      <c r="N22" s="35" t="s">
        <v>139</v>
      </c>
      <c r="O22" s="36" t="s">
        <v>140</v>
      </c>
      <c r="P22" s="37" t="s">
        <v>141</v>
      </c>
      <c r="Q22" s="32"/>
      <c r="R22" s="35" t="s">
        <v>139</v>
      </c>
      <c r="S22" s="36" t="s">
        <v>140</v>
      </c>
      <c r="T22" s="37" t="s">
        <v>141</v>
      </c>
      <c r="U22" s="33"/>
      <c r="V22" s="35" t="s">
        <v>139</v>
      </c>
      <c r="W22" s="36" t="s">
        <v>140</v>
      </c>
      <c r="X22" s="37" t="s">
        <v>141</v>
      </c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13.5" customHeight="1" x14ac:dyDescent="0.35">
      <c r="A23" s="27"/>
      <c r="B23" s="366" t="str">
        <f>"ACTUAL: "&amp;TEXT('⚙️ NOI Engine'!J18/1000,"$#,##0K")</f>
        <v>ACTUAL: $180K</v>
      </c>
      <c r="C23" s="367"/>
      <c r="D23" s="368"/>
      <c r="E23" s="29"/>
      <c r="F23" s="372" t="str">
        <f>"ACTUAL: "&amp;TEXT(IF('⚙️ NOI Engine'!J19&lt;0,'⚙️ NOI Engine'!J18/ABS('⚙️ NOI Engine'!J19),0),"0.00")</f>
        <v>ACTUAL: 1.19</v>
      </c>
      <c r="G23" s="373"/>
      <c r="H23" s="374"/>
      <c r="I23" s="30"/>
      <c r="J23" s="382" t="str">
        <f>"ACTUAL: "&amp;TEXT('🏢 Property Metrics'!D12,"0.0%")</f>
        <v>ACTUAL: 96.1%</v>
      </c>
      <c r="K23" s="383"/>
      <c r="L23" s="384"/>
      <c r="M23" s="31"/>
      <c r="N23" s="369" t="str">
        <f>"ACTUAL: $"&amp;TEXT('💵 Operating Cash Flow'!F14,"#,##0K")</f>
        <v>ACTUAL: $162K</v>
      </c>
      <c r="O23" s="370"/>
      <c r="P23" s="371"/>
      <c r="Q23" s="32"/>
      <c r="R23" s="339" t="str">
        <f>"ACTUAL: $"&amp;TEXT('⚙️ NOI Engine'!J6/1000,"#,##0K")</f>
        <v>ACTUAL: $297K</v>
      </c>
      <c r="S23" s="340"/>
      <c r="T23" s="341"/>
      <c r="U23" s="33"/>
      <c r="V23" s="346" t="str">
        <f>"ACTUAL: $"&amp;TEXT('💵 Operating Cash Flow'!F6,"#,##0K")</f>
        <v>ACTUAL: $138K</v>
      </c>
      <c r="W23" s="347"/>
      <c r="X23" s="348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15.75" customHeight="1" x14ac:dyDescent="0.35">
      <c r="A24" s="27"/>
      <c r="B24" s="27"/>
      <c r="C24" s="27"/>
      <c r="D24" s="38"/>
      <c r="E24" s="29"/>
      <c r="F24" s="29"/>
      <c r="G24" s="39"/>
      <c r="H24" s="40"/>
      <c r="I24" s="30"/>
      <c r="J24" s="30"/>
      <c r="K24" s="30"/>
      <c r="L24" s="38"/>
      <c r="M24" s="31"/>
      <c r="N24" s="31"/>
      <c r="O24" s="31"/>
      <c r="P24" s="38"/>
      <c r="Q24" s="32"/>
      <c r="R24" s="32"/>
      <c r="S24" s="32"/>
      <c r="T24" s="38"/>
      <c r="U24" s="33"/>
      <c r="V24" s="33"/>
      <c r="W24" s="41"/>
      <c r="X24" s="40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9.75" customHeight="1" x14ac:dyDescent="0.35">
      <c r="A25" s="27"/>
      <c r="B25" s="42" t="s">
        <v>142</v>
      </c>
      <c r="C25" s="43" t="s">
        <v>143</v>
      </c>
      <c r="D25" s="44" t="s">
        <v>144</v>
      </c>
      <c r="E25" s="29"/>
      <c r="F25" s="42" t="s">
        <v>145</v>
      </c>
      <c r="G25" s="43" t="s">
        <v>146</v>
      </c>
      <c r="H25" s="44" t="s">
        <v>147</v>
      </c>
      <c r="I25" s="30"/>
      <c r="J25" s="42" t="s">
        <v>148</v>
      </c>
      <c r="K25" s="43" t="s">
        <v>149</v>
      </c>
      <c r="L25" s="44" t="s">
        <v>150</v>
      </c>
      <c r="M25" s="31"/>
      <c r="N25" s="42" t="s">
        <v>142</v>
      </c>
      <c r="O25" s="43" t="s">
        <v>143</v>
      </c>
      <c r="P25" s="44" t="s">
        <v>144</v>
      </c>
      <c r="Q25" s="32"/>
      <c r="R25" s="42" t="s">
        <v>142</v>
      </c>
      <c r="S25" s="43" t="s">
        <v>151</v>
      </c>
      <c r="T25" s="44" t="s">
        <v>152</v>
      </c>
      <c r="U25" s="33"/>
      <c r="V25" s="42" t="s">
        <v>142</v>
      </c>
      <c r="W25" s="43" t="s">
        <v>143</v>
      </c>
      <c r="X25" s="44" t="s">
        <v>144</v>
      </c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ht="6" customHeight="1" x14ac:dyDescent="0.35">
      <c r="A26" s="27"/>
      <c r="B26" s="28"/>
      <c r="C26" s="28"/>
      <c r="D26" s="28"/>
      <c r="E26" s="29"/>
      <c r="F26" s="28"/>
      <c r="G26" s="28"/>
      <c r="H26" s="28"/>
      <c r="I26" s="30"/>
      <c r="J26" s="28"/>
      <c r="K26" s="28"/>
      <c r="L26" s="28"/>
      <c r="M26" s="31"/>
      <c r="N26" s="28"/>
      <c r="O26" s="28"/>
      <c r="P26" s="28"/>
      <c r="Q26" s="32"/>
      <c r="R26" s="28"/>
      <c r="S26" s="28"/>
      <c r="T26" s="28"/>
      <c r="U26" s="33"/>
      <c r="V26" s="28"/>
      <c r="W26" s="28"/>
      <c r="X26" s="28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ht="10.5" customHeight="1" x14ac:dyDescent="0.35">
      <c r="A27" s="27"/>
      <c r="B27" s="45" t="s">
        <v>36</v>
      </c>
      <c r="C27" s="46" t="s">
        <v>153</v>
      </c>
      <c r="D27" s="47" t="s">
        <v>154</v>
      </c>
      <c r="E27" s="29"/>
      <c r="F27" s="45" t="s">
        <v>36</v>
      </c>
      <c r="G27" s="46" t="s">
        <v>153</v>
      </c>
      <c r="H27" s="47" t="s">
        <v>154</v>
      </c>
      <c r="I27" s="30"/>
      <c r="J27" s="45" t="s">
        <v>36</v>
      </c>
      <c r="K27" s="46" t="s">
        <v>153</v>
      </c>
      <c r="L27" s="47" t="s">
        <v>154</v>
      </c>
      <c r="M27" s="31"/>
      <c r="N27" s="45" t="s">
        <v>36</v>
      </c>
      <c r="O27" s="46" t="s">
        <v>153</v>
      </c>
      <c r="P27" s="47" t="s">
        <v>154</v>
      </c>
      <c r="Q27" s="32"/>
      <c r="R27" s="45" t="s">
        <v>36</v>
      </c>
      <c r="S27" s="46" t="s">
        <v>153</v>
      </c>
      <c r="T27" s="47" t="s">
        <v>154</v>
      </c>
      <c r="U27" s="33"/>
      <c r="V27" s="45" t="s">
        <v>36</v>
      </c>
      <c r="W27" s="46" t="s">
        <v>153</v>
      </c>
      <c r="X27" s="47" t="s">
        <v>154</v>
      </c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ht="21.75" customHeight="1" x14ac:dyDescent="0.35">
      <c r="A28" s="27"/>
      <c r="B28" s="48" t="s">
        <v>155</v>
      </c>
      <c r="C28" s="49" t="str">
        <f>TEXT('⚙️ NOI Engine'!J18/190000,"0%")</f>
        <v>95%</v>
      </c>
      <c r="D28" s="50" t="str">
        <f>TEXT(('⚙️ NOI Engine'!J18-190000)/190000,"+0%;-0%")</f>
        <v>-5%</v>
      </c>
      <c r="E28" s="29"/>
      <c r="F28" s="48" t="s">
        <v>155</v>
      </c>
      <c r="G28" s="51" t="str">
        <f>TEXT(IF('⚙️ NOI Engine'!J19&lt;0,'⚙️ NOI Engine'!J18/ABS('⚙️ NOI Engine'!J19),0)/1.25,"0%")</f>
        <v>95%</v>
      </c>
      <c r="H28" s="50" t="str">
        <f>TEXT((IF('⚙️ NOI Engine'!J19&lt;0,'⚙️ NOI Engine'!J18/ABS('⚙️ NOI Engine'!J19),0)-1.25)/1.25,"+0%;-0%")</f>
        <v>-5%</v>
      </c>
      <c r="I28" s="30"/>
      <c r="J28" s="52" t="s">
        <v>156</v>
      </c>
      <c r="K28" s="53" t="str">
        <f>TEXT('🏢 Property Metrics'!D12/0.95,"0%")</f>
        <v>101%</v>
      </c>
      <c r="L28" s="50" t="str">
        <f>TEXT(('🏢 Property Metrics'!D12-0.95)/0.95,"+0%;-0%")</f>
        <v>+1%</v>
      </c>
      <c r="M28" s="31"/>
      <c r="N28" s="48" t="s">
        <v>155</v>
      </c>
      <c r="O28" s="54" t="str">
        <f>TEXT('💵 Operating Cash Flow'!F14/154,"0%")</f>
        <v>105%</v>
      </c>
      <c r="P28" s="55" t="str">
        <f>TEXT(('💵 Operating Cash Flow'!F14-154)/154,"+0%;-0%")</f>
        <v>+5%</v>
      </c>
      <c r="Q28" s="32"/>
      <c r="R28" s="56" t="s">
        <v>156</v>
      </c>
      <c r="S28" s="57" t="str">
        <f>TEXT('⚙️ NOI Engine'!J6/1000/280,"0%")</f>
        <v>106%</v>
      </c>
      <c r="T28" s="50" t="str">
        <f>TEXT(('⚙️ NOI Engine'!J6/1000-280)/280,"+0%;-0%")</f>
        <v>+6%</v>
      </c>
      <c r="U28" s="33"/>
      <c r="V28" s="48" t="s">
        <v>155</v>
      </c>
      <c r="W28" s="58" t="str">
        <f>TEXT('💵 Operating Cash Flow'!F6/160,"0%")</f>
        <v>86%</v>
      </c>
      <c r="X28" s="50" t="str">
        <f>TEXT(('💵 Operating Cash Flow'!F6-160)/160,"+0%;-0%")</f>
        <v>-14%</v>
      </c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17.25" customHeight="1" x14ac:dyDescent="0.35">
      <c r="A29" s="59"/>
      <c r="B29" s="342"/>
      <c r="C29" s="304"/>
      <c r="D29" s="304"/>
      <c r="E29" s="304"/>
      <c r="F29" s="304"/>
      <c r="G29" s="304"/>
      <c r="H29" s="304"/>
      <c r="I29" s="304"/>
      <c r="J29" s="304"/>
      <c r="K29" s="304"/>
      <c r="L29" s="304"/>
      <c r="M29" s="304"/>
      <c r="N29" s="304"/>
      <c r="O29" s="304"/>
      <c r="P29" s="304"/>
      <c r="Q29" s="304"/>
      <c r="R29" s="304"/>
      <c r="S29" s="304"/>
      <c r="T29" s="304"/>
      <c r="U29" s="304"/>
      <c r="V29" s="304"/>
      <c r="W29" s="304"/>
      <c r="X29" s="304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15" customHeight="1" x14ac:dyDescent="0.35">
      <c r="A30" s="386"/>
      <c r="B30" s="304"/>
      <c r="C30" s="304"/>
      <c r="D30" s="304"/>
      <c r="E30" s="304"/>
      <c r="F30" s="304"/>
      <c r="G30" s="304"/>
      <c r="H30" s="304"/>
      <c r="I30" s="304"/>
      <c r="J30" s="304"/>
      <c r="K30" s="304"/>
      <c r="L30" s="304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18" customHeight="1" x14ac:dyDescent="0.35">
      <c r="A31" s="61"/>
      <c r="B31" s="61"/>
      <c r="C31" s="61" t="s">
        <v>157</v>
      </c>
      <c r="D31" s="61" t="s">
        <v>158</v>
      </c>
      <c r="E31" s="360" t="s">
        <v>159</v>
      </c>
      <c r="F31" s="304"/>
      <c r="G31" s="61" t="s">
        <v>160</v>
      </c>
      <c r="H31" s="61" t="s">
        <v>161</v>
      </c>
      <c r="I31" s="360" t="s">
        <v>162</v>
      </c>
      <c r="J31" s="304"/>
      <c r="K31" s="61" t="s">
        <v>163</v>
      </c>
      <c r="L31" s="61" t="s">
        <v>164</v>
      </c>
      <c r="M31" s="360" t="s">
        <v>165</v>
      </c>
      <c r="N31" s="304"/>
      <c r="O31" s="61" t="s">
        <v>166</v>
      </c>
      <c r="P31" s="61" t="s">
        <v>167</v>
      </c>
      <c r="Q31" s="360" t="s">
        <v>168</v>
      </c>
      <c r="R31" s="304"/>
      <c r="S31" s="333" t="s">
        <v>169</v>
      </c>
      <c r="T31" s="304"/>
      <c r="U31" s="61"/>
      <c r="V31" s="1"/>
      <c r="W31" s="1"/>
      <c r="X31" s="1"/>
      <c r="Y31" s="1" t="s">
        <v>170</v>
      </c>
      <c r="Z31" s="1" t="s">
        <v>171</v>
      </c>
      <c r="AA31" s="1"/>
      <c r="AB31" s="1"/>
      <c r="AC31" s="1"/>
      <c r="AD31" s="1"/>
      <c r="AE31" s="1"/>
      <c r="AF31" s="1"/>
      <c r="AG31" s="1"/>
      <c r="AH31" s="1"/>
    </row>
    <row r="32" spans="1:34" ht="18" customHeight="1" x14ac:dyDescent="0.35">
      <c r="A32" s="63" t="s">
        <v>172</v>
      </c>
      <c r="B32" s="63"/>
      <c r="C32" s="64">
        <f>'🔢 Data Engine'!B2</f>
        <v>285</v>
      </c>
      <c r="D32" s="64">
        <f>'🔢 Data Engine'!B3</f>
        <v>310</v>
      </c>
      <c r="E32" s="357">
        <f>'🔢 Data Engine'!B4</f>
        <v>298</v>
      </c>
      <c r="F32" s="304"/>
      <c r="G32" s="64">
        <f>'🔢 Data Engine'!B5</f>
        <v>340</v>
      </c>
      <c r="H32" s="64">
        <f>'🔢 Data Engine'!B6</f>
        <v>365</v>
      </c>
      <c r="I32" s="357">
        <f>'🔢 Data Engine'!B7</f>
        <v>380</v>
      </c>
      <c r="J32" s="304"/>
      <c r="K32" s="64">
        <f>'🔢 Data Engine'!B8</f>
        <v>355</v>
      </c>
      <c r="L32" s="64">
        <f>'🔢 Data Engine'!B9</f>
        <v>420</v>
      </c>
      <c r="M32" s="357">
        <f>'🔢 Data Engine'!B10</f>
        <v>445</v>
      </c>
      <c r="N32" s="304"/>
      <c r="O32" s="64">
        <f>'🔢 Data Engine'!B11</f>
        <v>470</v>
      </c>
      <c r="P32" s="64">
        <f>'🔢 Data Engine'!B12</f>
        <v>510</v>
      </c>
      <c r="Q32" s="357">
        <f>'🔢 Data Engine'!B13</f>
        <v>580</v>
      </c>
      <c r="R32" s="304"/>
      <c r="S32" s="357">
        <f>C32+D32+E32+G32+H32+I32+K32+L32+M32+O32+P32+Q32</f>
        <v>4758</v>
      </c>
      <c r="T32" s="304"/>
      <c r="U32" s="65"/>
      <c r="V32" s="1"/>
      <c r="W32" s="1"/>
      <c r="X32" s="1"/>
      <c r="Y32" s="1" t="s">
        <v>172</v>
      </c>
      <c r="Z32" s="66">
        <f>S32</f>
        <v>4758</v>
      </c>
      <c r="AA32" s="1"/>
      <c r="AB32" s="1"/>
      <c r="AC32" s="1"/>
      <c r="AD32" s="1"/>
      <c r="AE32" s="1"/>
      <c r="AF32" s="1"/>
      <c r="AG32" s="1"/>
      <c r="AH32" s="1"/>
    </row>
    <row r="33" spans="1:34" ht="18" customHeight="1" x14ac:dyDescent="0.35">
      <c r="A33" s="67" t="s">
        <v>173</v>
      </c>
      <c r="B33" s="67"/>
      <c r="C33" s="65">
        <f>'🔢 Data Engine'!C2</f>
        <v>300</v>
      </c>
      <c r="D33" s="65">
        <f>'🔢 Data Engine'!C3</f>
        <v>320</v>
      </c>
      <c r="E33" s="343">
        <f>'🔢 Data Engine'!C4</f>
        <v>310</v>
      </c>
      <c r="F33" s="304"/>
      <c r="G33" s="65">
        <f>'🔢 Data Engine'!C5</f>
        <v>350</v>
      </c>
      <c r="H33" s="65">
        <f>'🔢 Data Engine'!C6</f>
        <v>370</v>
      </c>
      <c r="I33" s="343">
        <f>'🔢 Data Engine'!C7</f>
        <v>390</v>
      </c>
      <c r="J33" s="304"/>
      <c r="K33" s="65">
        <f>'🔢 Data Engine'!C8</f>
        <v>370</v>
      </c>
      <c r="L33" s="65">
        <f>'🔢 Data Engine'!C9</f>
        <v>410</v>
      </c>
      <c r="M33" s="343">
        <f>'🔢 Data Engine'!C10</f>
        <v>440</v>
      </c>
      <c r="N33" s="304"/>
      <c r="O33" s="65">
        <f>'🔢 Data Engine'!C11</f>
        <v>460</v>
      </c>
      <c r="P33" s="65">
        <f>'🔢 Data Engine'!C12</f>
        <v>500</v>
      </c>
      <c r="Q33" s="343">
        <f>'🔢 Data Engine'!C13</f>
        <v>560</v>
      </c>
      <c r="R33" s="304"/>
      <c r="S33" s="343">
        <f>C33+D33+E33+G33+H33+I33+K33+L33+M33+O33+P33+Q33</f>
        <v>4780</v>
      </c>
      <c r="T33" s="304"/>
      <c r="U33" s="65"/>
      <c r="V33" s="1"/>
      <c r="W33" s="1"/>
      <c r="X33" s="1"/>
      <c r="Y33" s="1" t="s">
        <v>173</v>
      </c>
      <c r="Z33" s="66">
        <f>S33</f>
        <v>4780</v>
      </c>
      <c r="AA33" s="1"/>
      <c r="AB33" s="1"/>
      <c r="AC33" s="1"/>
      <c r="AD33" s="1"/>
      <c r="AE33" s="1"/>
      <c r="AF33" s="1"/>
      <c r="AG33" s="1"/>
      <c r="AH33" s="1"/>
    </row>
    <row r="34" spans="1:34" ht="18" customHeight="1" x14ac:dyDescent="0.35">
      <c r="A34" s="68" t="s">
        <v>174</v>
      </c>
      <c r="B34" s="68"/>
      <c r="C34" s="69">
        <f>C32-C33</f>
        <v>-15</v>
      </c>
      <c r="D34" s="69">
        <f>D32-D33</f>
        <v>-10</v>
      </c>
      <c r="E34" s="335">
        <f>E32-E33</f>
        <v>-12</v>
      </c>
      <c r="F34" s="304"/>
      <c r="G34" s="70">
        <f>G32-G33</f>
        <v>-10</v>
      </c>
      <c r="H34" s="69">
        <f>H32-H33</f>
        <v>-5</v>
      </c>
      <c r="I34" s="365">
        <f>I32-I33</f>
        <v>-10</v>
      </c>
      <c r="J34" s="304"/>
      <c r="K34" s="69">
        <f>K32-K33</f>
        <v>-15</v>
      </c>
      <c r="L34" s="69">
        <f>L32-L33</f>
        <v>10</v>
      </c>
      <c r="M34" s="365">
        <f>M32-M33</f>
        <v>5</v>
      </c>
      <c r="N34" s="304"/>
      <c r="O34" s="70">
        <f>O32-O33</f>
        <v>10</v>
      </c>
      <c r="P34" s="70">
        <f>P32-P33</f>
        <v>10</v>
      </c>
      <c r="Q34" s="365">
        <f>Q32-Q33</f>
        <v>20</v>
      </c>
      <c r="R34" s="304"/>
      <c r="S34" s="365">
        <f>C34+D34+E34+G34+H34+I34+K34+L34+M34+O34+P34+Q34</f>
        <v>-22</v>
      </c>
      <c r="T34" s="304"/>
      <c r="U34" s="7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ht="15.75" customHeight="1" x14ac:dyDescent="0.35">
      <c r="A35" s="342"/>
      <c r="B35" s="304"/>
      <c r="C35" s="304"/>
      <c r="D35" s="304"/>
      <c r="E35" s="304"/>
      <c r="F35" s="304"/>
      <c r="G35" s="304"/>
      <c r="H35" s="304"/>
      <c r="I35" s="304"/>
      <c r="J35" s="304"/>
      <c r="K35" s="304"/>
      <c r="L35" s="304"/>
      <c r="M35" s="304"/>
      <c r="N35" s="304"/>
      <c r="O35" s="304"/>
      <c r="P35" s="304"/>
      <c r="Q35" s="304"/>
      <c r="R35" s="304"/>
      <c r="S35" s="304"/>
      <c r="T35" s="304"/>
      <c r="U35" s="304"/>
      <c r="V35" s="304"/>
      <c r="W35" s="304"/>
      <c r="X35" s="304"/>
      <c r="Y35" s="304"/>
      <c r="Z35" s="304"/>
      <c r="AA35" s="1"/>
      <c r="AB35" s="1"/>
      <c r="AC35" s="1"/>
      <c r="AD35" s="1"/>
      <c r="AE35" s="1"/>
      <c r="AF35" s="1"/>
      <c r="AG35" s="1"/>
      <c r="AH35" s="1"/>
    </row>
    <row r="36" spans="1:34" ht="3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13.5" customHeight="1" x14ac:dyDescent="0.35">
      <c r="A37" s="379"/>
      <c r="B37" s="304"/>
      <c r="C37" s="304"/>
      <c r="D37" s="304"/>
      <c r="E37" s="304"/>
      <c r="F37" s="304"/>
      <c r="G37" s="304"/>
      <c r="H37" s="304"/>
      <c r="I37" s="304"/>
      <c r="J37" s="304"/>
      <c r="K37" s="304"/>
      <c r="L37" s="304"/>
      <c r="M37" s="304"/>
      <c r="N37" s="72"/>
      <c r="O37" s="377"/>
      <c r="P37" s="304"/>
      <c r="Q37" s="304"/>
      <c r="R37" s="304"/>
      <c r="S37" s="304"/>
      <c r="T37" s="304"/>
      <c r="U37" s="304"/>
      <c r="V37" s="304"/>
      <c r="W37" s="304"/>
      <c r="X37" s="304"/>
      <c r="Y37" s="304"/>
      <c r="Z37" s="304"/>
      <c r="AA37" s="1"/>
      <c r="AB37" s="1"/>
      <c r="AC37" s="1"/>
      <c r="AD37" s="1"/>
      <c r="AE37" s="1"/>
      <c r="AF37" s="1"/>
      <c r="AG37" s="1"/>
      <c r="AH37" s="1"/>
    </row>
    <row r="38" spans="1:34" ht="13.5" customHeight="1" x14ac:dyDescent="0.35">
      <c r="A38" s="337" t="s">
        <v>175</v>
      </c>
      <c r="B38" s="304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ht="2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6" hidden="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ht="6.75" customHeight="1" x14ac:dyDescent="0.35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13.5" hidden="1" customHeight="1" x14ac:dyDescent="0.35">
      <c r="A42" s="358"/>
      <c r="B42" s="304"/>
      <c r="C42" s="304"/>
      <c r="D42" s="304"/>
      <c r="E42" s="304"/>
      <c r="F42" s="304"/>
      <c r="G42" s="304"/>
      <c r="H42" s="304"/>
      <c r="I42" s="304"/>
      <c r="J42" s="304"/>
      <c r="K42" s="304"/>
      <c r="L42" s="304"/>
      <c r="M42" s="304"/>
      <c r="N42" s="304"/>
      <c r="O42" s="304"/>
      <c r="P42" s="304"/>
      <c r="Q42" s="304"/>
      <c r="R42" s="304"/>
      <c r="S42" s="304"/>
      <c r="T42" s="304"/>
      <c r="U42" s="304"/>
      <c r="V42" s="304"/>
      <c r="W42" s="304"/>
      <c r="X42" s="304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ht="21" customHeight="1" x14ac:dyDescent="0.35">
      <c r="A43" s="333" t="s">
        <v>33</v>
      </c>
      <c r="B43" s="304"/>
      <c r="C43" s="304"/>
      <c r="D43" s="333" t="s">
        <v>6</v>
      </c>
      <c r="E43" s="304"/>
      <c r="F43" s="62"/>
      <c r="G43" s="333" t="s">
        <v>4</v>
      </c>
      <c r="H43" s="304"/>
      <c r="I43" s="333" t="s">
        <v>5</v>
      </c>
      <c r="J43" s="304"/>
      <c r="K43" s="304"/>
      <c r="L43" s="333" t="s">
        <v>12</v>
      </c>
      <c r="M43" s="304"/>
      <c r="N43" s="62"/>
      <c r="O43" s="333" t="s">
        <v>7</v>
      </c>
      <c r="P43" s="304"/>
      <c r="Q43" s="333" t="s">
        <v>35</v>
      </c>
      <c r="R43" s="304"/>
      <c r="S43" s="304"/>
      <c r="T43" s="333" t="s">
        <v>36</v>
      </c>
      <c r="U43" s="304"/>
      <c r="V43" s="74"/>
      <c r="W43" s="73"/>
      <c r="X43" s="73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ht="21" customHeight="1" x14ac:dyDescent="0.35">
      <c r="A44" s="324" t="str">
        <f>'📥 Data Pulls'!B28</f>
        <v>Jan-24</v>
      </c>
      <c r="B44" s="304"/>
      <c r="C44" s="304"/>
      <c r="D44" s="332" t="str">
        <f>TEXT('📥 Data Pulls'!C28,"0%")</f>
        <v>2500000%</v>
      </c>
      <c r="E44" s="304"/>
      <c r="F44" s="75"/>
      <c r="G44" s="330" t="str">
        <f>TEXT('📥 Data Pulls'!D28/1000,"$#,##0K")</f>
        <v>$1K</v>
      </c>
      <c r="H44" s="304"/>
      <c r="I44" s="376" t="str">
        <f>TEXT('📥 Data Pulls'!E28,"0.00x")</f>
        <v>24000.00x</v>
      </c>
      <c r="J44" s="304"/>
      <c r="K44" s="304"/>
      <c r="L44" s="363" t="str">
        <f>TEXT('📥 Data Pulls'!F28/1000,"$#,##0K")</f>
        <v>$9K</v>
      </c>
      <c r="M44" s="304"/>
      <c r="N44" s="75"/>
      <c r="O44" s="359" t="str">
        <f>TEXT('📥 Data Pulls'!G28/1000,"$#,##0K")</f>
        <v>$15K</v>
      </c>
      <c r="P44" s="304"/>
      <c r="Q44" s="355" t="str">
        <f>TEXT('📥 Data Pulls'!H28,"0.0%")</f>
        <v>1266700.0%</v>
      </c>
      <c r="R44" s="304"/>
      <c r="S44" s="304"/>
      <c r="T44" s="330" t="s">
        <v>176</v>
      </c>
      <c r="U44" s="304"/>
      <c r="V44" s="74"/>
      <c r="W44" s="73"/>
      <c r="X44" s="73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21" customHeight="1" x14ac:dyDescent="0.35">
      <c r="A45" s="375" t="str">
        <f>'📥 Data Pulls'!B29</f>
        <v>Feb-24</v>
      </c>
      <c r="B45" s="304"/>
      <c r="C45" s="304"/>
      <c r="D45" s="327" t="str">
        <f>TEXT('📥 Data Pulls'!C29,"0%")</f>
        <v>2500000%</v>
      </c>
      <c r="E45" s="304"/>
      <c r="F45" s="76"/>
      <c r="G45" s="385" t="str">
        <f>TEXT('📥 Data Pulls'!D29/1000,"$#,##0K")</f>
        <v>$1K</v>
      </c>
      <c r="H45" s="304"/>
      <c r="I45" s="349" t="str">
        <f>TEXT('📥 Data Pulls'!E29,"0.00x")</f>
        <v>24000.00x</v>
      </c>
      <c r="J45" s="304"/>
      <c r="K45" s="304"/>
      <c r="L45" s="331" t="str">
        <f>TEXT('📥 Data Pulls'!F29/1000,"$#,##0K")</f>
        <v>$9K</v>
      </c>
      <c r="M45" s="304"/>
      <c r="N45" s="76"/>
      <c r="O45" s="353" t="str">
        <f>TEXT('📥 Data Pulls'!G29/1000,"$#,##0K")</f>
        <v>$15K</v>
      </c>
      <c r="P45" s="304"/>
      <c r="Q45" s="361" t="str">
        <f>TEXT('📥 Data Pulls'!H29,"0.0%")</f>
        <v>1266700.0%</v>
      </c>
      <c r="R45" s="304"/>
      <c r="S45" s="304"/>
      <c r="T45" s="353" t="s">
        <v>177</v>
      </c>
      <c r="U45" s="304"/>
      <c r="V45" s="74"/>
      <c r="W45" s="73"/>
      <c r="X45" s="73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ht="21" customHeight="1" x14ac:dyDescent="0.35">
      <c r="A46" s="324" t="str">
        <f>'📥 Data Pulls'!B30</f>
        <v>Mar-24</v>
      </c>
      <c r="B46" s="304"/>
      <c r="C46" s="304"/>
      <c r="D46" s="332" t="str">
        <f>TEXT('📥 Data Pulls'!C30,"0%")</f>
        <v>2500000%</v>
      </c>
      <c r="E46" s="304"/>
      <c r="F46" s="75"/>
      <c r="G46" s="330" t="str">
        <f>TEXT('📥 Data Pulls'!D30/1000,"$#,##0K")</f>
        <v>$1K</v>
      </c>
      <c r="H46" s="304"/>
      <c r="I46" s="376" t="str">
        <f>TEXT('📥 Data Pulls'!E30,"0.00x")</f>
        <v>24000.00x</v>
      </c>
      <c r="J46" s="304"/>
      <c r="K46" s="304"/>
      <c r="L46" s="363" t="str">
        <f>TEXT('📥 Data Pulls'!F30/1000,"$#,##0K")</f>
        <v>$9K</v>
      </c>
      <c r="M46" s="304"/>
      <c r="N46" s="75"/>
      <c r="O46" s="359" t="str">
        <f>TEXT('📥 Data Pulls'!G30/1000,"$#,##0K")</f>
        <v>$15K</v>
      </c>
      <c r="P46" s="304"/>
      <c r="Q46" s="355" t="str">
        <f>TEXT('📥 Data Pulls'!H30,"0.0%")</f>
        <v>1266700.0%</v>
      </c>
      <c r="R46" s="304"/>
      <c r="S46" s="304"/>
      <c r="T46" s="332" t="s">
        <v>178</v>
      </c>
      <c r="U46" s="304"/>
      <c r="V46" s="74"/>
      <c r="W46" s="73"/>
      <c r="X46" s="73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21" customHeight="1" x14ac:dyDescent="0.35">
      <c r="A47" s="375" t="str">
        <f>'📥 Data Pulls'!B31</f>
        <v>Apr-24</v>
      </c>
      <c r="B47" s="304"/>
      <c r="C47" s="304"/>
      <c r="D47" s="327" t="str">
        <f>TEXT('📥 Data Pulls'!C31,"0%")</f>
        <v>2500000%</v>
      </c>
      <c r="E47" s="304"/>
      <c r="F47" s="76"/>
      <c r="G47" s="385" t="str">
        <f>TEXT('📥 Data Pulls'!D31/1000,"$#,##0K")</f>
        <v>$1K</v>
      </c>
      <c r="H47" s="304"/>
      <c r="I47" s="349" t="str">
        <f>TEXT('📥 Data Pulls'!E31,"0.00x")</f>
        <v>24000.00x</v>
      </c>
      <c r="J47" s="304"/>
      <c r="K47" s="304"/>
      <c r="L47" s="331" t="str">
        <f>TEXT('📥 Data Pulls'!F31/1000,"$#,##0K")</f>
        <v>$9K</v>
      </c>
      <c r="M47" s="304"/>
      <c r="N47" s="76"/>
      <c r="O47" s="353" t="str">
        <f>TEXT('📥 Data Pulls'!G31/1000,"$#,##0K")</f>
        <v>$15K</v>
      </c>
      <c r="P47" s="304"/>
      <c r="Q47" s="361" t="str">
        <f>TEXT('📥 Data Pulls'!H31,"0.0%")</f>
        <v>1266700.0%</v>
      </c>
      <c r="R47" s="304"/>
      <c r="S47" s="304"/>
      <c r="T47" s="353" t="s">
        <v>177</v>
      </c>
      <c r="U47" s="304"/>
      <c r="V47" s="74"/>
      <c r="W47" s="73"/>
      <c r="X47" s="73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21" customHeight="1" x14ac:dyDescent="0.35">
      <c r="A48" s="324" t="str">
        <f>'📥 Data Pulls'!B32</f>
        <v>May-24</v>
      </c>
      <c r="B48" s="304"/>
      <c r="C48" s="304"/>
      <c r="D48" s="332" t="str">
        <f>TEXT('📥 Data Pulls'!C32,"0%")</f>
        <v>2500000%</v>
      </c>
      <c r="E48" s="304"/>
      <c r="F48" s="75"/>
      <c r="G48" s="330" t="str">
        <f>TEXT('📥 Data Pulls'!D32/1000,"$#,##0K")</f>
        <v>$1K</v>
      </c>
      <c r="H48" s="304"/>
      <c r="I48" s="376" t="str">
        <f>TEXT('📥 Data Pulls'!E32,"0.00x")</f>
        <v>24000.00x</v>
      </c>
      <c r="J48" s="304"/>
      <c r="K48" s="304"/>
      <c r="L48" s="363" t="str">
        <f>TEXT('📥 Data Pulls'!F32/1000,"$#,##0K")</f>
        <v>$9K</v>
      </c>
      <c r="M48" s="304"/>
      <c r="N48" s="75"/>
      <c r="O48" s="359" t="str">
        <f>TEXT('📥 Data Pulls'!G32/1000,"$#,##0K")</f>
        <v>$15K</v>
      </c>
      <c r="P48" s="304"/>
      <c r="Q48" s="355" t="str">
        <f>TEXT('📥 Data Pulls'!H32,"0.0%")</f>
        <v>1266700.0%</v>
      </c>
      <c r="R48" s="304"/>
      <c r="S48" s="304"/>
      <c r="T48" s="330" t="s">
        <v>176</v>
      </c>
      <c r="U48" s="304"/>
      <c r="V48" s="74"/>
      <c r="W48" s="73"/>
      <c r="X48" s="73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21" customHeight="1" x14ac:dyDescent="0.35">
      <c r="A49" s="345" t="s">
        <v>179</v>
      </c>
      <c r="B49" s="304"/>
      <c r="C49" s="304"/>
      <c r="D49" s="344" t="str">
        <f>TEXT(AVERAGE('📥 Data Pulls'!C28:C32),"0.0%")</f>
        <v>2500000.0%</v>
      </c>
      <c r="E49" s="304"/>
      <c r="F49" s="77"/>
      <c r="G49" s="344" t="s">
        <v>180</v>
      </c>
      <c r="H49" s="304"/>
      <c r="I49" s="344" t="s">
        <v>181</v>
      </c>
      <c r="J49" s="304"/>
      <c r="K49" s="304"/>
      <c r="L49" s="344" t="s">
        <v>182</v>
      </c>
      <c r="M49" s="304"/>
      <c r="N49" s="77"/>
      <c r="O49" s="344" t="s">
        <v>183</v>
      </c>
      <c r="P49" s="304"/>
      <c r="Q49" s="344" t="s">
        <v>184</v>
      </c>
      <c r="R49" s="304"/>
      <c r="S49" s="304"/>
      <c r="T49" s="325" t="s">
        <v>185</v>
      </c>
      <c r="U49" s="304"/>
      <c r="V49" s="74"/>
      <c r="W49" s="73"/>
      <c r="X49" s="73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60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3.5" customHeight="1" x14ac:dyDescent="0.35">
      <c r="A51" s="1"/>
      <c r="B51" s="78"/>
      <c r="C51" s="78"/>
      <c r="D51" s="78"/>
      <c r="E51" s="78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13.5" customHeight="1" x14ac:dyDescent="0.35">
      <c r="A52" s="1"/>
      <c r="B52" s="78"/>
      <c r="C52" s="78"/>
      <c r="D52" s="78"/>
      <c r="E52" s="78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ht="13.5" customHeight="1" x14ac:dyDescent="0.35">
      <c r="A53" s="1"/>
      <c r="B53" s="78"/>
      <c r="C53" s="78"/>
      <c r="D53" s="78"/>
      <c r="E53" s="78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13.5" customHeight="1" x14ac:dyDescent="0.35">
      <c r="A54" s="1"/>
      <c r="B54" s="78"/>
      <c r="C54" s="78"/>
      <c r="D54" s="78"/>
      <c r="E54" s="7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7.5" customHeight="1" x14ac:dyDescent="0.35">
      <c r="A55" s="1"/>
      <c r="B55" s="78"/>
      <c r="C55" s="78"/>
      <c r="D55" s="78"/>
      <c r="E55" s="78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15.75" customHeight="1" x14ac:dyDescent="0.35">
      <c r="A56" s="60"/>
      <c r="B56" s="78"/>
      <c r="C56" s="78"/>
      <c r="D56" s="78"/>
      <c r="E56" s="78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 t="s">
        <v>186</v>
      </c>
      <c r="X56" s="60"/>
      <c r="Y56" s="60"/>
      <c r="Z56" s="60"/>
      <c r="AA56" s="1"/>
      <c r="AB56" s="1"/>
      <c r="AC56" s="1"/>
      <c r="AD56" s="1"/>
      <c r="AE56" s="1"/>
      <c r="AF56" s="1"/>
      <c r="AG56" s="1"/>
      <c r="AH56" s="1"/>
    </row>
    <row r="57" spans="1:34" ht="14.25" customHeight="1" x14ac:dyDescent="0.35">
      <c r="A57" s="1"/>
      <c r="B57" s="78"/>
      <c r="C57" s="78"/>
      <c r="D57" s="78"/>
      <c r="E57" s="78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 t="s">
        <v>187</v>
      </c>
      <c r="W57" s="1" t="s">
        <v>188</v>
      </c>
      <c r="X57" s="1" t="s">
        <v>189</v>
      </c>
      <c r="Y57" s="1" t="s">
        <v>190</v>
      </c>
      <c r="Z57" s="1"/>
      <c r="AA57" s="1"/>
      <c r="AB57" s="1"/>
      <c r="AC57" s="1"/>
      <c r="AD57" s="1"/>
      <c r="AE57" s="1"/>
      <c r="AF57" s="1"/>
      <c r="AG57" s="1"/>
      <c r="AH57" s="1"/>
    </row>
    <row r="58" spans="1:34" ht="14.25" customHeight="1" x14ac:dyDescent="0.35">
      <c r="A58" s="1"/>
      <c r="B58" s="78"/>
      <c r="C58" s="78"/>
      <c r="D58" s="78"/>
      <c r="E58" s="78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 t="s">
        <v>37</v>
      </c>
      <c r="W58" s="1">
        <v>94</v>
      </c>
      <c r="X58" s="1">
        <v>23.7</v>
      </c>
      <c r="Y58" s="1">
        <v>8.1999999999999993</v>
      </c>
      <c r="Z58" s="1"/>
      <c r="AA58" s="1"/>
      <c r="AB58" s="1"/>
      <c r="AC58" s="1"/>
      <c r="AD58" s="1"/>
      <c r="AE58" s="1"/>
      <c r="AF58" s="1"/>
      <c r="AG58" s="1"/>
      <c r="AH58" s="1"/>
    </row>
    <row r="59" spans="1:34" ht="14.25" customHeight="1" x14ac:dyDescent="0.35">
      <c r="A59" s="1"/>
      <c r="B59" s="78"/>
      <c r="C59" s="78"/>
      <c r="D59" s="78"/>
      <c r="E59" s="7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 t="s">
        <v>39</v>
      </c>
      <c r="W59" s="1">
        <v>98</v>
      </c>
      <c r="X59" s="1">
        <v>40</v>
      </c>
      <c r="Y59" s="1">
        <v>15</v>
      </c>
      <c r="Z59" s="1"/>
      <c r="AA59" s="1"/>
      <c r="AB59" s="1"/>
      <c r="AC59" s="1"/>
      <c r="AD59" s="1"/>
      <c r="AE59" s="1"/>
      <c r="AF59" s="1"/>
      <c r="AG59" s="1"/>
      <c r="AH59" s="1"/>
    </row>
    <row r="60" spans="1:34" ht="14.25" customHeight="1" x14ac:dyDescent="0.35">
      <c r="A60" s="1"/>
      <c r="B60" s="78"/>
      <c r="C60" s="78"/>
      <c r="D60" s="78"/>
      <c r="E60" s="78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 t="s">
        <v>40</v>
      </c>
      <c r="W60" s="1">
        <v>88</v>
      </c>
      <c r="X60" s="1">
        <v>18.5</v>
      </c>
      <c r="Y60" s="1">
        <v>5.5</v>
      </c>
      <c r="Z60" s="1"/>
      <c r="AA60" s="1"/>
      <c r="AB60" s="1"/>
      <c r="AC60" s="1"/>
      <c r="AD60" s="1"/>
      <c r="AE60" s="1"/>
      <c r="AF60" s="1"/>
      <c r="AG60" s="1"/>
      <c r="AH60" s="1"/>
    </row>
    <row r="61" spans="1:34" ht="14.25" customHeight="1" x14ac:dyDescent="0.35">
      <c r="A61" s="1"/>
      <c r="B61" s="78"/>
      <c r="C61" s="78"/>
      <c r="D61" s="78"/>
      <c r="E61" s="7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 t="s">
        <v>42</v>
      </c>
      <c r="W61" s="1">
        <v>100</v>
      </c>
      <c r="X61" s="1">
        <v>57</v>
      </c>
      <c r="Y61" s="1">
        <v>24</v>
      </c>
      <c r="Z61" s="1"/>
      <c r="AA61" s="1"/>
      <c r="AB61" s="1"/>
      <c r="AC61" s="1"/>
      <c r="AD61" s="1"/>
      <c r="AE61" s="1"/>
      <c r="AF61" s="1"/>
      <c r="AG61" s="1"/>
      <c r="AH61" s="1"/>
    </row>
    <row r="62" spans="1:34" ht="14.25" customHeight="1" x14ac:dyDescent="0.35">
      <c r="A62" s="1"/>
      <c r="B62" s="78"/>
      <c r="C62" s="78"/>
      <c r="D62" s="78"/>
      <c r="E62" s="78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 t="s">
        <v>43</v>
      </c>
      <c r="W62" s="1">
        <v>91</v>
      </c>
      <c r="X62" s="1">
        <v>30</v>
      </c>
      <c r="Y62" s="1">
        <v>10</v>
      </c>
      <c r="Z62" s="1"/>
      <c r="AA62" s="1"/>
      <c r="AB62" s="1"/>
      <c r="AC62" s="1"/>
      <c r="AD62" s="1"/>
      <c r="AE62" s="1"/>
      <c r="AF62" s="1"/>
      <c r="AG62" s="1"/>
      <c r="AH62" s="1"/>
    </row>
    <row r="63" spans="1:34" ht="6" customHeight="1" x14ac:dyDescent="0.35">
      <c r="A63" s="1"/>
      <c r="B63" s="78"/>
      <c r="C63" s="78"/>
      <c r="D63" s="78"/>
      <c r="E63" s="78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13.5" customHeight="1" x14ac:dyDescent="0.3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1"/>
      <c r="AB64" s="1"/>
      <c r="AC64" s="1"/>
      <c r="AD64" s="1"/>
      <c r="AE64" s="1"/>
      <c r="AF64" s="1"/>
      <c r="AG64" s="1"/>
      <c r="AH64" s="1"/>
    </row>
    <row r="65" spans="1:34" ht="14.25" customHeight="1" x14ac:dyDescent="0.35">
      <c r="A65" s="1"/>
      <c r="B65" s="78"/>
      <c r="C65" s="78"/>
      <c r="D65" s="78"/>
      <c r="E65" s="78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4.25" customHeight="1" x14ac:dyDescent="0.35">
      <c r="A66" s="1"/>
      <c r="B66" s="78"/>
      <c r="C66" s="78"/>
      <c r="D66" s="78"/>
      <c r="E66" s="78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14.25" customHeight="1" x14ac:dyDescent="0.35">
      <c r="A67" s="1"/>
      <c r="B67" s="78"/>
      <c r="C67" s="78"/>
      <c r="D67" s="78"/>
      <c r="E67" s="7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14.25" customHeight="1" x14ac:dyDescent="0.35">
      <c r="A68" s="1"/>
      <c r="B68" s="78"/>
      <c r="C68" s="78"/>
      <c r="D68" s="78"/>
      <c r="E68" s="78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4.25" customHeight="1" x14ac:dyDescent="0.3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1"/>
      <c r="AB69" s="1"/>
      <c r="AC69" s="1"/>
      <c r="AD69" s="1"/>
      <c r="AE69" s="1"/>
      <c r="AF69" s="1"/>
      <c r="AG69" s="1"/>
      <c r="AH69" s="1"/>
    </row>
    <row r="70" spans="1:34" ht="14.2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</sheetData>
  <mergeCells count="135">
    <mergeCell ref="K2:Q2"/>
    <mergeCell ref="D44:E44"/>
    <mergeCell ref="S31:T31"/>
    <mergeCell ref="R6:T8"/>
    <mergeCell ref="V18:W18"/>
    <mergeCell ref="J6:L8"/>
    <mergeCell ref="E33:F33"/>
    <mergeCell ref="T45:U45"/>
    <mergeCell ref="D46:E46"/>
    <mergeCell ref="I43:K43"/>
    <mergeCell ref="Q33:R33"/>
    <mergeCell ref="J20:L20"/>
    <mergeCell ref="V11:X11"/>
    <mergeCell ref="B6:D8"/>
    <mergeCell ref="J12:L12"/>
    <mergeCell ref="I44:K44"/>
    <mergeCell ref="Q34:R34"/>
    <mergeCell ref="S34:T34"/>
    <mergeCell ref="D43:E43"/>
    <mergeCell ref="J23:L23"/>
    <mergeCell ref="G45:H45"/>
    <mergeCell ref="A30:L30"/>
    <mergeCell ref="F10:H10"/>
    <mergeCell ref="I46:K46"/>
    <mergeCell ref="F19:H19"/>
    <mergeCell ref="A45:C45"/>
    <mergeCell ref="R10:T10"/>
    <mergeCell ref="J10:L10"/>
    <mergeCell ref="R19:T19"/>
    <mergeCell ref="E32:F32"/>
    <mergeCell ref="A37:M37"/>
    <mergeCell ref="J19:L19"/>
    <mergeCell ref="T46:U46"/>
    <mergeCell ref="A35:Z35"/>
    <mergeCell ref="Q32:R32"/>
    <mergeCell ref="S32:T32"/>
    <mergeCell ref="B12:D12"/>
    <mergeCell ref="V19:X19"/>
    <mergeCell ref="F20:H20"/>
    <mergeCell ref="I34:J34"/>
    <mergeCell ref="G43:H43"/>
    <mergeCell ref="M32:N32"/>
    <mergeCell ref="J18:K18"/>
    <mergeCell ref="G46:H46"/>
    <mergeCell ref="I31:J31"/>
    <mergeCell ref="F11:H11"/>
    <mergeCell ref="R11:T11"/>
    <mergeCell ref="F6:H8"/>
    <mergeCell ref="L46:M46"/>
    <mergeCell ref="V20:X20"/>
    <mergeCell ref="N12:P12"/>
    <mergeCell ref="L48:M48"/>
    <mergeCell ref="M34:N34"/>
    <mergeCell ref="B23:D23"/>
    <mergeCell ref="R12:T12"/>
    <mergeCell ref="N23:P23"/>
    <mergeCell ref="L47:M47"/>
    <mergeCell ref="F23:H23"/>
    <mergeCell ref="L43:M43"/>
    <mergeCell ref="A47:C47"/>
    <mergeCell ref="N18:O18"/>
    <mergeCell ref="I48:K48"/>
    <mergeCell ref="M31:N31"/>
    <mergeCell ref="E31:F31"/>
    <mergeCell ref="O46:P46"/>
    <mergeCell ref="O37:Z37"/>
    <mergeCell ref="O47:P47"/>
    <mergeCell ref="N11:P11"/>
    <mergeCell ref="O48:P48"/>
    <mergeCell ref="Q48:S48"/>
    <mergeCell ref="G49:H49"/>
    <mergeCell ref="D47:E47"/>
    <mergeCell ref="Q45:S45"/>
    <mergeCell ref="A44:C44"/>
    <mergeCell ref="I33:J33"/>
    <mergeCell ref="S33:T33"/>
    <mergeCell ref="Q47:S47"/>
    <mergeCell ref="N20:P20"/>
    <mergeCell ref="L44:M44"/>
    <mergeCell ref="Q49:S49"/>
    <mergeCell ref="D49:E49"/>
    <mergeCell ref="T48:U48"/>
    <mergeCell ref="T47:U47"/>
    <mergeCell ref="O49:P49"/>
    <mergeCell ref="A48:C48"/>
    <mergeCell ref="G47:H47"/>
    <mergeCell ref="L49:M49"/>
    <mergeCell ref="A49:C49"/>
    <mergeCell ref="V23:X23"/>
    <mergeCell ref="T43:U43"/>
    <mergeCell ref="I45:K45"/>
    <mergeCell ref="A4:Z4"/>
    <mergeCell ref="R18:S18"/>
    <mergeCell ref="F12:H12"/>
    <mergeCell ref="G44:H44"/>
    <mergeCell ref="I47:K47"/>
    <mergeCell ref="B18:C18"/>
    <mergeCell ref="V6:X8"/>
    <mergeCell ref="O45:P45"/>
    <mergeCell ref="G48:H48"/>
    <mergeCell ref="B10:D10"/>
    <mergeCell ref="Q44:S44"/>
    <mergeCell ref="B19:D19"/>
    <mergeCell ref="N10:P10"/>
    <mergeCell ref="I32:J32"/>
    <mergeCell ref="Q46:S46"/>
    <mergeCell ref="F18:G18"/>
    <mergeCell ref="A42:X42"/>
    <mergeCell ref="O44:P44"/>
    <mergeCell ref="A16:Z16"/>
    <mergeCell ref="Q31:R31"/>
    <mergeCell ref="B11:D11"/>
    <mergeCell ref="V10:X10"/>
    <mergeCell ref="A46:C46"/>
    <mergeCell ref="T49:U49"/>
    <mergeCell ref="R20:T20"/>
    <mergeCell ref="D45:E45"/>
    <mergeCell ref="J11:L11"/>
    <mergeCell ref="A2:I2"/>
    <mergeCell ref="N19:P19"/>
    <mergeCell ref="T44:U44"/>
    <mergeCell ref="L45:M45"/>
    <mergeCell ref="D48:E48"/>
    <mergeCell ref="A43:C43"/>
    <mergeCell ref="B20:D20"/>
    <mergeCell ref="E34:F34"/>
    <mergeCell ref="N6:P8"/>
    <mergeCell ref="A38:X38"/>
    <mergeCell ref="O43:P43"/>
    <mergeCell ref="V12:X12"/>
    <mergeCell ref="R23:T23"/>
    <mergeCell ref="B29:X29"/>
    <mergeCell ref="M33:N33"/>
    <mergeCell ref="Q43:S43"/>
    <mergeCell ref="I49:K4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B1:K26"/>
  <sheetViews>
    <sheetView zoomScaleNormal="100" workbookViewId="0"/>
  </sheetViews>
  <sheetFormatPr defaultColWidth="8.6328125" defaultRowHeight="14.5" x14ac:dyDescent="0.35"/>
  <cols>
    <col min="1" max="1" width="2" customWidth="1"/>
    <col min="2" max="2" width="13" customWidth="1"/>
    <col min="3" max="4" width="15" customWidth="1"/>
    <col min="5" max="5" width="14" customWidth="1"/>
    <col min="6" max="8" width="13" customWidth="1"/>
    <col min="9" max="10" width="17" customWidth="1"/>
    <col min="11" max="11" width="20" customWidth="1"/>
  </cols>
  <sheetData>
    <row r="1" spans="2:11" ht="6" customHeight="1" x14ac:dyDescent="0.35"/>
    <row r="2" spans="2:11" ht="30" customHeight="1" x14ac:dyDescent="0.35">
      <c r="B2" s="398" t="s">
        <v>191</v>
      </c>
      <c r="C2" s="304"/>
      <c r="D2" s="304"/>
      <c r="E2" s="304"/>
      <c r="F2" s="304"/>
      <c r="G2" s="304"/>
      <c r="H2" s="304"/>
      <c r="I2" s="304"/>
      <c r="J2" s="304"/>
      <c r="K2" s="304"/>
    </row>
    <row r="3" spans="2:11" ht="18" customHeight="1" x14ac:dyDescent="0.35">
      <c r="B3" s="397" t="s">
        <v>192</v>
      </c>
      <c r="C3" s="304"/>
      <c r="D3" s="304"/>
      <c r="E3" s="304"/>
      <c r="F3" s="304"/>
      <c r="G3" s="304"/>
      <c r="H3" s="304"/>
      <c r="I3" s="304"/>
      <c r="J3" s="304"/>
      <c r="K3" s="304"/>
    </row>
    <row r="4" spans="2:11" ht="9.75" customHeight="1" x14ac:dyDescent="0.35"/>
    <row r="5" spans="2:11" ht="15.75" customHeight="1" x14ac:dyDescent="0.35">
      <c r="B5" s="391" t="s">
        <v>193</v>
      </c>
      <c r="C5" s="304"/>
      <c r="D5" s="391" t="s">
        <v>194</v>
      </c>
      <c r="E5" s="304"/>
      <c r="F5" s="391" t="s">
        <v>195</v>
      </c>
      <c r="G5" s="304"/>
      <c r="H5" s="391" t="s">
        <v>196</v>
      </c>
      <c r="I5" s="304"/>
      <c r="J5" s="391" t="s">
        <v>197</v>
      </c>
      <c r="K5" s="304"/>
    </row>
    <row r="6" spans="2:11" ht="25.5" customHeight="1" x14ac:dyDescent="0.35">
      <c r="B6" s="399">
        <f>SUM('📥 Data Pulls'!G13:G24)</f>
        <v>180249.60000000001</v>
      </c>
      <c r="C6" s="304"/>
      <c r="D6" s="393">
        <f>SUM('📥 Data Pulls'!H13:H24)</f>
        <v>152004</v>
      </c>
      <c r="E6" s="304"/>
      <c r="F6" s="392">
        <f>IF(E6&gt;0,B6/E6,0)</f>
        <v>0</v>
      </c>
      <c r="G6" s="304"/>
      <c r="H6" s="394">
        <v>1.25</v>
      </c>
      <c r="I6" s="304"/>
      <c r="J6" s="395" t="str">
        <f>IF(F6&gt;=H6,"✅ COMPLIANT",IF(F6&gt;=H6*0.9,"⚠️ AT RISK","🚨 CRITICAL"))</f>
        <v>🚨 CRITICAL</v>
      </c>
      <c r="K6" s="304"/>
    </row>
    <row r="7" spans="2:11" ht="12" customHeight="1" x14ac:dyDescent="0.35">
      <c r="B7" s="390"/>
      <c r="C7" s="304"/>
      <c r="D7" s="390"/>
      <c r="E7" s="304"/>
      <c r="F7" s="390"/>
      <c r="G7" s="304"/>
      <c r="H7" s="390"/>
      <c r="I7" s="304"/>
      <c r="J7" s="390"/>
      <c r="K7" s="304"/>
    </row>
    <row r="8" spans="2:11" ht="9.75" customHeight="1" x14ac:dyDescent="0.35"/>
    <row r="9" spans="2:11" ht="7.5" customHeight="1" x14ac:dyDescent="0.35"/>
    <row r="10" spans="2:11" ht="19.5" customHeight="1" x14ac:dyDescent="0.35">
      <c r="B10" s="400" t="s">
        <v>198</v>
      </c>
      <c r="C10" s="304"/>
      <c r="D10" s="304"/>
      <c r="E10" s="304"/>
      <c r="F10" s="304"/>
      <c r="G10" s="304"/>
      <c r="H10" s="304"/>
      <c r="I10" s="304"/>
      <c r="J10" s="304"/>
      <c r="K10" s="304"/>
    </row>
    <row r="11" spans="2:11" ht="24" customHeight="1" x14ac:dyDescent="0.35">
      <c r="B11" s="79" t="s">
        <v>11</v>
      </c>
      <c r="C11" s="79" t="s">
        <v>199</v>
      </c>
      <c r="D11" s="79" t="s">
        <v>200</v>
      </c>
      <c r="E11" s="79" t="s">
        <v>201</v>
      </c>
      <c r="F11" s="79" t="s">
        <v>202</v>
      </c>
      <c r="G11" s="79" t="s">
        <v>203</v>
      </c>
      <c r="H11" s="79" t="s">
        <v>204</v>
      </c>
      <c r="I11" s="79" t="s">
        <v>36</v>
      </c>
      <c r="J11" s="79" t="s">
        <v>205</v>
      </c>
      <c r="K11" s="79" t="s">
        <v>206</v>
      </c>
    </row>
    <row r="12" spans="2:11" ht="18" customHeight="1" x14ac:dyDescent="0.35">
      <c r="B12" s="80" t="s">
        <v>17</v>
      </c>
      <c r="C12" s="81">
        <f>'📥 Data Pulls'!G13</f>
        <v>14821.12</v>
      </c>
      <c r="D12" s="82">
        <f t="shared" ref="D12:D23" si="0">C12*12</f>
        <v>177853.44</v>
      </c>
      <c r="E12" s="81">
        <f>'📥 Data Pulls'!H13</f>
        <v>12667</v>
      </c>
      <c r="F12" s="83">
        <f t="shared" ref="F12:F23" si="1">IF(E12*12&gt;0,D12/(E12*12),0)</f>
        <v>1.1700576300623668</v>
      </c>
      <c r="G12" s="84">
        <f t="shared" ref="G12:G24" si="2">$H$6</f>
        <v>1.25</v>
      </c>
      <c r="H12" s="85">
        <f t="shared" ref="H12:H24" si="3">F12-G12</f>
        <v>-7.9942369937633151E-2</v>
      </c>
      <c r="I12" s="80" t="str">
        <f t="shared" ref="I12:I24" si="4">IF(F12&gt;=$H$6,"✅ COMPLIANT",IF(F12&gt;=$H$6*0.9,"⚠️ AT RISK","🚨 CRITICAL"))</f>
        <v>⚠️ AT RISK</v>
      </c>
      <c r="J12" s="86" t="s">
        <v>207</v>
      </c>
      <c r="K12" s="87" t="str">
        <f t="shared" ref="K12:K23" si="5">IF(F12&lt;$H$6*0.9,"⚠ BREACH RISK — NOTIFY LENDER",IF(F12&lt;$H$6,"Monitor Closely","In Compliance"))</f>
        <v>Monitor Closely</v>
      </c>
    </row>
    <row r="13" spans="2:11" ht="18" customHeight="1" x14ac:dyDescent="0.35">
      <c r="B13" s="88" t="s">
        <v>18</v>
      </c>
      <c r="C13" s="89">
        <f>'📥 Data Pulls'!G14</f>
        <v>14272</v>
      </c>
      <c r="D13" s="90">
        <f t="shared" si="0"/>
        <v>171264</v>
      </c>
      <c r="E13" s="89">
        <f>'📥 Data Pulls'!H14</f>
        <v>12667</v>
      </c>
      <c r="F13" s="91">
        <f t="shared" si="1"/>
        <v>1.1267071919160021</v>
      </c>
      <c r="G13" s="92">
        <f t="shared" si="2"/>
        <v>1.25</v>
      </c>
      <c r="H13" s="93">
        <f t="shared" si="3"/>
        <v>-0.1232928080839979</v>
      </c>
      <c r="I13" s="88" t="str">
        <f t="shared" si="4"/>
        <v>⚠️ AT RISK</v>
      </c>
      <c r="J13" s="94" t="str">
        <f t="shared" ref="J13:J23" si="6">IF(F13&gt;F12,"▲ IMPROVING",IF(F13&lt;F12,"▼ DECLINING","→ STABLE"))</f>
        <v>▼ DECLINING</v>
      </c>
      <c r="K13" s="95" t="str">
        <f t="shared" si="5"/>
        <v>Monitor Closely</v>
      </c>
    </row>
    <row r="14" spans="2:11" ht="18" customHeight="1" x14ac:dyDescent="0.35">
      <c r="B14" s="80" t="s">
        <v>19</v>
      </c>
      <c r="C14" s="81">
        <f>'📥 Data Pulls'!G15</f>
        <v>14821.12</v>
      </c>
      <c r="D14" s="82">
        <f t="shared" si="0"/>
        <v>177853.44</v>
      </c>
      <c r="E14" s="81">
        <f>'📥 Data Pulls'!H15</f>
        <v>12667</v>
      </c>
      <c r="F14" s="83">
        <f t="shared" si="1"/>
        <v>1.1700576300623668</v>
      </c>
      <c r="G14" s="84">
        <f t="shared" si="2"/>
        <v>1.25</v>
      </c>
      <c r="H14" s="85">
        <f t="shared" si="3"/>
        <v>-7.9942369937633151E-2</v>
      </c>
      <c r="I14" s="80" t="str">
        <f t="shared" si="4"/>
        <v>⚠️ AT RISK</v>
      </c>
      <c r="J14" s="86" t="str">
        <f t="shared" si="6"/>
        <v>▲ IMPROVING</v>
      </c>
      <c r="K14" s="87" t="str">
        <f t="shared" si="5"/>
        <v>Monitor Closely</v>
      </c>
    </row>
    <row r="15" spans="2:11" ht="18" customHeight="1" x14ac:dyDescent="0.35">
      <c r="B15" s="88" t="s">
        <v>20</v>
      </c>
      <c r="C15" s="89">
        <f>'📥 Data Pulls'!G16</f>
        <v>14821.12</v>
      </c>
      <c r="D15" s="90">
        <f t="shared" si="0"/>
        <v>177853.44</v>
      </c>
      <c r="E15" s="89">
        <f>'📥 Data Pulls'!H16</f>
        <v>12667</v>
      </c>
      <c r="F15" s="91">
        <f t="shared" si="1"/>
        <v>1.1700576300623668</v>
      </c>
      <c r="G15" s="92">
        <f t="shared" si="2"/>
        <v>1.25</v>
      </c>
      <c r="H15" s="93">
        <f t="shared" si="3"/>
        <v>-7.9942369937633151E-2</v>
      </c>
      <c r="I15" s="88" t="str">
        <f t="shared" si="4"/>
        <v>⚠️ AT RISK</v>
      </c>
      <c r="J15" s="94" t="str">
        <f t="shared" si="6"/>
        <v>→ STABLE</v>
      </c>
      <c r="K15" s="95" t="str">
        <f t="shared" si="5"/>
        <v>Monitor Closely</v>
      </c>
    </row>
    <row r="16" spans="2:11" ht="18" customHeight="1" x14ac:dyDescent="0.35">
      <c r="B16" s="80" t="s">
        <v>21</v>
      </c>
      <c r="C16" s="81">
        <f>'📥 Data Pulls'!G17</f>
        <v>15168</v>
      </c>
      <c r="D16" s="82">
        <f t="shared" si="0"/>
        <v>182016</v>
      </c>
      <c r="E16" s="81">
        <f>'📥 Data Pulls'!H17</f>
        <v>12667</v>
      </c>
      <c r="F16" s="83">
        <f t="shared" si="1"/>
        <v>1.197442172574406</v>
      </c>
      <c r="G16" s="84">
        <f t="shared" si="2"/>
        <v>1.25</v>
      </c>
      <c r="H16" s="85">
        <f t="shared" si="3"/>
        <v>-5.2557827425594006E-2</v>
      </c>
      <c r="I16" s="80" t="str">
        <f t="shared" si="4"/>
        <v>⚠️ AT RISK</v>
      </c>
      <c r="J16" s="86" t="str">
        <f t="shared" si="6"/>
        <v>▲ IMPROVING</v>
      </c>
      <c r="K16" s="87" t="str">
        <f t="shared" si="5"/>
        <v>Monitor Closely</v>
      </c>
    </row>
    <row r="17" spans="2:11" ht="18" customHeight="1" x14ac:dyDescent="0.35">
      <c r="B17" s="88" t="s">
        <v>22</v>
      </c>
      <c r="C17" s="89">
        <f>'📥 Data Pulls'!G18</f>
        <v>15488</v>
      </c>
      <c r="D17" s="90">
        <f t="shared" si="0"/>
        <v>185856</v>
      </c>
      <c r="E17" s="89">
        <f>'📥 Data Pulls'!H18</f>
        <v>12667</v>
      </c>
      <c r="F17" s="91">
        <f t="shared" si="1"/>
        <v>1.2227046656666929</v>
      </c>
      <c r="G17" s="92">
        <f t="shared" si="2"/>
        <v>1.25</v>
      </c>
      <c r="H17" s="93">
        <f t="shared" si="3"/>
        <v>-2.7295334333307109E-2</v>
      </c>
      <c r="I17" s="88" t="str">
        <f t="shared" si="4"/>
        <v>⚠️ AT RISK</v>
      </c>
      <c r="J17" s="94" t="str">
        <f t="shared" si="6"/>
        <v>▲ IMPROVING</v>
      </c>
      <c r="K17" s="95" t="str">
        <f t="shared" si="5"/>
        <v>Monitor Closely</v>
      </c>
    </row>
    <row r="18" spans="2:11" ht="18" customHeight="1" x14ac:dyDescent="0.35">
      <c r="B18" s="80" t="s">
        <v>23</v>
      </c>
      <c r="C18" s="81">
        <f>'📥 Data Pulls'!G19</f>
        <v>15488</v>
      </c>
      <c r="D18" s="82">
        <f t="shared" si="0"/>
        <v>185856</v>
      </c>
      <c r="E18" s="81">
        <f>'📥 Data Pulls'!H19</f>
        <v>12667</v>
      </c>
      <c r="F18" s="83">
        <f t="shared" si="1"/>
        <v>1.2227046656666929</v>
      </c>
      <c r="G18" s="84">
        <f t="shared" si="2"/>
        <v>1.25</v>
      </c>
      <c r="H18" s="85">
        <f t="shared" si="3"/>
        <v>-2.7295334333307109E-2</v>
      </c>
      <c r="I18" s="80" t="str">
        <f t="shared" si="4"/>
        <v>⚠️ AT RISK</v>
      </c>
      <c r="J18" s="86" t="str">
        <f t="shared" si="6"/>
        <v>→ STABLE</v>
      </c>
      <c r="K18" s="87" t="str">
        <f t="shared" si="5"/>
        <v>Monitor Closely</v>
      </c>
    </row>
    <row r="19" spans="2:11" ht="18" customHeight="1" x14ac:dyDescent="0.35">
      <c r="B19" s="88" t="s">
        <v>24</v>
      </c>
      <c r="C19" s="89">
        <f>'📥 Data Pulls'!G20</f>
        <v>15488</v>
      </c>
      <c r="D19" s="90">
        <f t="shared" si="0"/>
        <v>185856</v>
      </c>
      <c r="E19" s="89">
        <f>'📥 Data Pulls'!H20</f>
        <v>12667</v>
      </c>
      <c r="F19" s="91">
        <f t="shared" si="1"/>
        <v>1.2227046656666929</v>
      </c>
      <c r="G19" s="92">
        <f t="shared" si="2"/>
        <v>1.25</v>
      </c>
      <c r="H19" s="93">
        <f t="shared" si="3"/>
        <v>-2.7295334333307109E-2</v>
      </c>
      <c r="I19" s="88" t="str">
        <f t="shared" si="4"/>
        <v>⚠️ AT RISK</v>
      </c>
      <c r="J19" s="94" t="str">
        <f t="shared" si="6"/>
        <v>→ STABLE</v>
      </c>
      <c r="K19" s="95" t="str">
        <f t="shared" si="5"/>
        <v>Monitor Closely</v>
      </c>
    </row>
    <row r="20" spans="2:11" ht="18" customHeight="1" x14ac:dyDescent="0.35">
      <c r="B20" s="80" t="s">
        <v>25</v>
      </c>
      <c r="C20" s="81">
        <f>'📥 Data Pulls'!G21</f>
        <v>15200</v>
      </c>
      <c r="D20" s="82">
        <f t="shared" si="0"/>
        <v>182400</v>
      </c>
      <c r="E20" s="81">
        <f>'📥 Data Pulls'!H21</f>
        <v>12667</v>
      </c>
      <c r="F20" s="83">
        <f t="shared" si="1"/>
        <v>1.1999684218836346</v>
      </c>
      <c r="G20" s="84">
        <f t="shared" si="2"/>
        <v>1.25</v>
      </c>
      <c r="H20" s="85">
        <f t="shared" si="3"/>
        <v>-5.0031578116365383E-2</v>
      </c>
      <c r="I20" s="80" t="str">
        <f t="shared" si="4"/>
        <v>⚠️ AT RISK</v>
      </c>
      <c r="J20" s="86" t="str">
        <f t="shared" si="6"/>
        <v>▼ DECLINING</v>
      </c>
      <c r="K20" s="87" t="str">
        <f t="shared" si="5"/>
        <v>Monitor Closely</v>
      </c>
    </row>
    <row r="21" spans="2:11" ht="18" customHeight="1" x14ac:dyDescent="0.35">
      <c r="B21" s="88" t="s">
        <v>26</v>
      </c>
      <c r="C21" s="89">
        <f>'📥 Data Pulls'!G22</f>
        <v>15040</v>
      </c>
      <c r="D21" s="90">
        <f t="shared" si="0"/>
        <v>180480</v>
      </c>
      <c r="E21" s="89">
        <f>'📥 Data Pulls'!H22</f>
        <v>12667</v>
      </c>
      <c r="F21" s="91">
        <f t="shared" si="1"/>
        <v>1.1873371753374911</v>
      </c>
      <c r="G21" s="92">
        <f t="shared" si="2"/>
        <v>1.25</v>
      </c>
      <c r="H21" s="93">
        <f t="shared" si="3"/>
        <v>-6.2662824662508942E-2</v>
      </c>
      <c r="I21" s="88" t="str">
        <f t="shared" si="4"/>
        <v>⚠️ AT RISK</v>
      </c>
      <c r="J21" s="94" t="str">
        <f t="shared" si="6"/>
        <v>▼ DECLINING</v>
      </c>
      <c r="K21" s="95" t="str">
        <f t="shared" si="5"/>
        <v>Monitor Closely</v>
      </c>
    </row>
    <row r="22" spans="2:11" ht="18" customHeight="1" x14ac:dyDescent="0.35">
      <c r="B22" s="80" t="s">
        <v>27</v>
      </c>
      <c r="C22" s="81">
        <f>'📥 Data Pulls'!G23</f>
        <v>14821.12</v>
      </c>
      <c r="D22" s="82">
        <f t="shared" si="0"/>
        <v>177853.44</v>
      </c>
      <c r="E22" s="81">
        <f>'📥 Data Pulls'!H23</f>
        <v>12667</v>
      </c>
      <c r="F22" s="83">
        <f t="shared" si="1"/>
        <v>1.1700576300623668</v>
      </c>
      <c r="G22" s="84">
        <f t="shared" si="2"/>
        <v>1.25</v>
      </c>
      <c r="H22" s="85">
        <f t="shared" si="3"/>
        <v>-7.9942369937633151E-2</v>
      </c>
      <c r="I22" s="80" t="str">
        <f t="shared" si="4"/>
        <v>⚠️ AT RISK</v>
      </c>
      <c r="J22" s="86" t="str">
        <f t="shared" si="6"/>
        <v>▼ DECLINING</v>
      </c>
      <c r="K22" s="87" t="str">
        <f t="shared" si="5"/>
        <v>Monitor Closely</v>
      </c>
    </row>
    <row r="23" spans="2:11" ht="18" customHeight="1" x14ac:dyDescent="0.35">
      <c r="B23" s="88" t="s">
        <v>28</v>
      </c>
      <c r="C23" s="89">
        <f>'📥 Data Pulls'!G24</f>
        <v>14821.12</v>
      </c>
      <c r="D23" s="90">
        <f t="shared" si="0"/>
        <v>177853.44</v>
      </c>
      <c r="E23" s="89">
        <f>'📥 Data Pulls'!H24</f>
        <v>12667</v>
      </c>
      <c r="F23" s="91">
        <f t="shared" si="1"/>
        <v>1.1700576300623668</v>
      </c>
      <c r="G23" s="92">
        <f t="shared" si="2"/>
        <v>1.25</v>
      </c>
      <c r="H23" s="93">
        <f t="shared" si="3"/>
        <v>-7.9942369937633151E-2</v>
      </c>
      <c r="I23" s="88" t="str">
        <f t="shared" si="4"/>
        <v>⚠️ AT RISK</v>
      </c>
      <c r="J23" s="94" t="str">
        <f t="shared" si="6"/>
        <v>→ STABLE</v>
      </c>
      <c r="K23" s="95" t="str">
        <f t="shared" si="5"/>
        <v>Monitor Closely</v>
      </c>
    </row>
    <row r="24" spans="2:11" ht="18" customHeight="1" x14ac:dyDescent="0.35">
      <c r="B24" s="96" t="s">
        <v>208</v>
      </c>
      <c r="C24" s="97">
        <f>SUM('📥 Data Pulls'!G13:G24)</f>
        <v>180249.60000000001</v>
      </c>
      <c r="D24" s="97">
        <f>C24</f>
        <v>180249.60000000001</v>
      </c>
      <c r="E24" s="97">
        <f>SUM('📥 Data Pulls'!H13:H24)</f>
        <v>152004</v>
      </c>
      <c r="F24" s="98">
        <f>IF(E24&gt;0,C24/E24,0)</f>
        <v>1.1858214257519539</v>
      </c>
      <c r="G24" s="98">
        <f t="shared" si="2"/>
        <v>1.25</v>
      </c>
      <c r="H24" s="99">
        <f t="shared" si="3"/>
        <v>-6.4178574248046072E-2</v>
      </c>
      <c r="I24" s="96" t="str">
        <f t="shared" si="4"/>
        <v>⚠️ AT RISK</v>
      </c>
      <c r="J24" s="96"/>
      <c r="K24" s="96" t="s">
        <v>209</v>
      </c>
    </row>
    <row r="26" spans="2:11" ht="13.5" customHeight="1" x14ac:dyDescent="0.35">
      <c r="B26" s="396" t="s">
        <v>210</v>
      </c>
      <c r="C26" s="304"/>
      <c r="D26" s="304"/>
      <c r="E26" s="304"/>
      <c r="F26" s="304"/>
      <c r="G26" s="304"/>
      <c r="H26" s="304"/>
      <c r="I26" s="304"/>
      <c r="J26" s="304"/>
      <c r="K26" s="304"/>
    </row>
  </sheetData>
  <mergeCells count="19">
    <mergeCell ref="B2:K2"/>
    <mergeCell ref="B6:C6"/>
    <mergeCell ref="B5:C5"/>
    <mergeCell ref="D5:E5"/>
    <mergeCell ref="H5:I5"/>
    <mergeCell ref="B26:K26"/>
    <mergeCell ref="F5:G5"/>
    <mergeCell ref="B3:K3"/>
    <mergeCell ref="D7:E7"/>
    <mergeCell ref="H7:I7"/>
    <mergeCell ref="J7:K7"/>
    <mergeCell ref="B10:K10"/>
    <mergeCell ref="B7:C7"/>
    <mergeCell ref="J5:K5"/>
    <mergeCell ref="F6:G6"/>
    <mergeCell ref="F7:G7"/>
    <mergeCell ref="D6:E6"/>
    <mergeCell ref="H6:I6"/>
    <mergeCell ref="J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B82F6"/>
  </sheetPr>
  <dimension ref="A1:N13"/>
  <sheetViews>
    <sheetView zoomScaleNormal="100" workbookViewId="0"/>
  </sheetViews>
  <sheetFormatPr defaultColWidth="8.6328125" defaultRowHeight="14.5" x14ac:dyDescent="0.35"/>
  <sheetData>
    <row r="1" spans="1:14" ht="14.25" customHeight="1" x14ac:dyDescent="0.35">
      <c r="A1" t="s">
        <v>211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  <c r="H1" t="s">
        <v>217</v>
      </c>
      <c r="I1" t="s">
        <v>218</v>
      </c>
      <c r="K1" t="s">
        <v>187</v>
      </c>
      <c r="L1" s="100" t="s">
        <v>219</v>
      </c>
      <c r="M1" s="100" t="s">
        <v>220</v>
      </c>
      <c r="N1" t="s">
        <v>189</v>
      </c>
    </row>
    <row r="2" spans="1:14" ht="14.25" customHeight="1" x14ac:dyDescent="0.35">
      <c r="A2" t="s">
        <v>157</v>
      </c>
      <c r="B2" s="101">
        <v>285</v>
      </c>
      <c r="C2">
        <v>300</v>
      </c>
      <c r="D2">
        <v>48</v>
      </c>
      <c r="E2">
        <v>75</v>
      </c>
      <c r="F2">
        <v>160</v>
      </c>
      <c r="H2" t="s">
        <v>221</v>
      </c>
      <c r="I2">
        <v>2100</v>
      </c>
      <c r="K2" t="s">
        <v>222</v>
      </c>
      <c r="L2" s="102">
        <f>'🏢 Property Metrics'!L12</f>
        <v>332</v>
      </c>
      <c r="M2" s="101">
        <f>'⚙️ NOI Engine'!J6/'🏢 Property Metrics'!L12</f>
        <v>895.82831325301208</v>
      </c>
      <c r="N2">
        <v>320</v>
      </c>
    </row>
    <row r="3" spans="1:14" ht="14.25" customHeight="1" x14ac:dyDescent="0.35">
      <c r="A3" t="s">
        <v>158</v>
      </c>
      <c r="B3" s="101">
        <v>310</v>
      </c>
      <c r="C3">
        <v>320</v>
      </c>
      <c r="D3">
        <v>55</v>
      </c>
      <c r="E3">
        <v>82</v>
      </c>
      <c r="F3">
        <v>174</v>
      </c>
      <c r="H3" t="s">
        <v>223</v>
      </c>
      <c r="I3">
        <v>1500</v>
      </c>
      <c r="K3" t="s">
        <v>224</v>
      </c>
      <c r="L3">
        <v>1.52</v>
      </c>
      <c r="M3">
        <v>98</v>
      </c>
      <c r="N3">
        <v>415</v>
      </c>
    </row>
    <row r="4" spans="1:14" ht="14.25" customHeight="1" x14ac:dyDescent="0.35">
      <c r="A4" t="s">
        <v>159</v>
      </c>
      <c r="B4" s="101">
        <v>298</v>
      </c>
      <c r="C4">
        <v>310</v>
      </c>
      <c r="D4">
        <v>52</v>
      </c>
      <c r="E4">
        <v>79</v>
      </c>
      <c r="F4">
        <v>167</v>
      </c>
      <c r="H4" t="s">
        <v>225</v>
      </c>
      <c r="I4">
        <v>1200</v>
      </c>
      <c r="K4" t="s">
        <v>226</v>
      </c>
      <c r="L4">
        <v>1.18</v>
      </c>
      <c r="M4">
        <v>88</v>
      </c>
      <c r="N4">
        <v>280</v>
      </c>
    </row>
    <row r="5" spans="1:14" ht="14.25" customHeight="1" x14ac:dyDescent="0.35">
      <c r="A5" t="s">
        <v>160</v>
      </c>
      <c r="B5" s="101">
        <v>340</v>
      </c>
      <c r="C5">
        <v>350</v>
      </c>
      <c r="D5">
        <v>68</v>
      </c>
      <c r="E5">
        <v>90</v>
      </c>
      <c r="F5">
        <v>191</v>
      </c>
      <c r="H5" t="s">
        <v>227</v>
      </c>
      <c r="I5">
        <v>600</v>
      </c>
      <c r="K5" t="s">
        <v>228</v>
      </c>
      <c r="L5">
        <v>1.67</v>
      </c>
      <c r="M5">
        <v>100</v>
      </c>
      <c r="N5">
        <v>510</v>
      </c>
    </row>
    <row r="6" spans="1:14" ht="14.25" customHeight="1" x14ac:dyDescent="0.35">
      <c r="A6" t="s">
        <v>161</v>
      </c>
      <c r="B6" s="101">
        <v>365</v>
      </c>
      <c r="C6">
        <v>370</v>
      </c>
      <c r="D6">
        <v>74</v>
      </c>
      <c r="E6">
        <v>97</v>
      </c>
      <c r="F6">
        <v>205</v>
      </c>
      <c r="H6" t="s">
        <v>229</v>
      </c>
      <c r="I6">
        <v>400</v>
      </c>
      <c r="K6" t="s">
        <v>230</v>
      </c>
      <c r="L6">
        <v>1.29</v>
      </c>
      <c r="M6">
        <v>91</v>
      </c>
      <c r="N6">
        <v>365</v>
      </c>
    </row>
    <row r="7" spans="1:14" ht="14.25" customHeight="1" x14ac:dyDescent="0.35">
      <c r="A7" t="s">
        <v>162</v>
      </c>
      <c r="B7" s="101">
        <v>380</v>
      </c>
      <c r="C7">
        <v>390</v>
      </c>
      <c r="D7">
        <v>80</v>
      </c>
      <c r="E7">
        <v>101</v>
      </c>
      <c r="F7">
        <v>213</v>
      </c>
    </row>
    <row r="8" spans="1:14" ht="14.25" customHeight="1" x14ac:dyDescent="0.35">
      <c r="A8" t="s">
        <v>163</v>
      </c>
      <c r="B8" s="101">
        <v>355</v>
      </c>
      <c r="C8">
        <v>370</v>
      </c>
      <c r="D8">
        <v>71</v>
      </c>
      <c r="E8">
        <v>94</v>
      </c>
      <c r="F8">
        <v>199</v>
      </c>
    </row>
    <row r="9" spans="1:14" ht="14.25" customHeight="1" x14ac:dyDescent="0.35">
      <c r="A9" t="s">
        <v>164</v>
      </c>
      <c r="B9" s="101">
        <v>420</v>
      </c>
      <c r="C9">
        <v>410</v>
      </c>
      <c r="D9">
        <v>92</v>
      </c>
      <c r="E9">
        <v>111</v>
      </c>
      <c r="F9">
        <v>236</v>
      </c>
    </row>
    <row r="10" spans="1:14" ht="14.25" customHeight="1" x14ac:dyDescent="0.35">
      <c r="A10" t="s">
        <v>165</v>
      </c>
      <c r="B10" s="101">
        <v>445</v>
      </c>
      <c r="C10">
        <v>440</v>
      </c>
      <c r="D10">
        <v>98</v>
      </c>
      <c r="E10">
        <v>118</v>
      </c>
      <c r="F10">
        <v>250</v>
      </c>
    </row>
    <row r="11" spans="1:14" ht="14.25" customHeight="1" x14ac:dyDescent="0.35">
      <c r="A11" t="s">
        <v>166</v>
      </c>
      <c r="B11" s="101">
        <v>470</v>
      </c>
      <c r="C11">
        <v>460</v>
      </c>
      <c r="D11">
        <v>105</v>
      </c>
      <c r="E11">
        <v>125</v>
      </c>
      <c r="F11">
        <v>264</v>
      </c>
    </row>
    <row r="12" spans="1:14" ht="14.25" customHeight="1" x14ac:dyDescent="0.35">
      <c r="A12" t="s">
        <v>167</v>
      </c>
      <c r="B12" s="101">
        <v>510</v>
      </c>
      <c r="C12">
        <v>500</v>
      </c>
      <c r="D12">
        <v>118</v>
      </c>
      <c r="E12">
        <v>135</v>
      </c>
      <c r="F12">
        <v>286</v>
      </c>
    </row>
    <row r="13" spans="1:14" ht="14.25" customHeight="1" x14ac:dyDescent="0.35">
      <c r="A13" t="s">
        <v>168</v>
      </c>
      <c r="B13" s="101">
        <v>580</v>
      </c>
      <c r="C13">
        <v>560</v>
      </c>
      <c r="D13">
        <v>138</v>
      </c>
      <c r="E13">
        <v>154</v>
      </c>
      <c r="F13">
        <v>325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6B6D4"/>
  </sheetPr>
  <dimension ref="A1:S59"/>
  <sheetViews>
    <sheetView showGridLines="0" zoomScaleNormal="100" workbookViewId="0">
      <selection activeCell="E7" sqref="E7"/>
    </sheetView>
  </sheetViews>
  <sheetFormatPr defaultColWidth="8.6328125" defaultRowHeight="14.5" x14ac:dyDescent="0.35"/>
  <cols>
    <col min="1" max="1" width="7.81640625" customWidth="1"/>
    <col min="2" max="19" width="20.7265625" customWidth="1"/>
  </cols>
  <sheetData>
    <row r="1" spans="1:19" ht="7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9.75" customHeight="1" x14ac:dyDescent="0.35">
      <c r="A2" s="401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1"/>
      <c r="S2" s="1"/>
    </row>
    <row r="3" spans="1:19" ht="7.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21.75" customHeight="1" x14ac:dyDescent="0.35">
      <c r="A4" s="1"/>
      <c r="B4" s="317" t="s">
        <v>231</v>
      </c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  <c r="R4" s="1"/>
      <c r="S4" s="1"/>
    </row>
    <row r="5" spans="1:19" ht="9.75" customHeigh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1.75" customHeight="1" x14ac:dyDescent="0.35">
      <c r="A6" s="1"/>
      <c r="B6" s="103" t="s">
        <v>33</v>
      </c>
      <c r="C6" s="103" t="s">
        <v>5</v>
      </c>
      <c r="D6" s="103" t="s">
        <v>232</v>
      </c>
      <c r="E6" s="103" t="s">
        <v>12</v>
      </c>
      <c r="F6" s="103" t="s">
        <v>233</v>
      </c>
      <c r="G6" s="103" t="s">
        <v>234</v>
      </c>
      <c r="H6" s="103" t="s">
        <v>235</v>
      </c>
      <c r="I6" s="103" t="s">
        <v>4</v>
      </c>
      <c r="J6" s="103" t="s">
        <v>35</v>
      </c>
      <c r="K6" s="103" t="s">
        <v>7</v>
      </c>
      <c r="L6" s="104" t="s">
        <v>236</v>
      </c>
      <c r="M6" s="104" t="s">
        <v>237</v>
      </c>
      <c r="N6" s="105" t="s">
        <v>238</v>
      </c>
      <c r="O6" s="1"/>
      <c r="P6" s="1"/>
      <c r="Q6" s="1"/>
      <c r="R6" s="1"/>
      <c r="S6" s="1"/>
    </row>
    <row r="7" spans="1:19" ht="21.75" customHeight="1" x14ac:dyDescent="0.35">
      <c r="A7" s="1"/>
      <c r="B7" s="106" t="s">
        <v>37</v>
      </c>
      <c r="C7" s="107">
        <v>1.35</v>
      </c>
      <c r="D7" s="108">
        <f>IFERROR(N7/L7,0)</f>
        <v>0.9375</v>
      </c>
      <c r="E7" s="109">
        <v>42000</v>
      </c>
      <c r="F7" s="110">
        <f>-(L7-N7)*(E7/L7)</f>
        <v>-2625</v>
      </c>
      <c r="G7" s="110">
        <f>E7+F7</f>
        <v>39375</v>
      </c>
      <c r="H7" s="111">
        <f>-G7*'📋 Assumptions'!C15</f>
        <v>-14175</v>
      </c>
      <c r="I7" s="110">
        <f>G7+H7</f>
        <v>25200</v>
      </c>
      <c r="J7" s="112">
        <v>6.2E-2</v>
      </c>
      <c r="K7" s="111">
        <f>IFERROR(I7-I7/C7,0)</f>
        <v>6533.3333333333358</v>
      </c>
      <c r="L7" s="113">
        <v>48</v>
      </c>
      <c r="M7" s="114">
        <f t="shared" ref="M7:M12" si="0">E7/L7</f>
        <v>875</v>
      </c>
      <c r="N7" s="115">
        <v>45</v>
      </c>
      <c r="O7" s="1"/>
      <c r="P7" s="1"/>
      <c r="Q7" s="1"/>
      <c r="R7" s="1"/>
      <c r="S7" s="1"/>
    </row>
    <row r="8" spans="1:19" ht="21.75" customHeight="1" x14ac:dyDescent="0.35">
      <c r="A8" s="1"/>
      <c r="B8" s="116" t="s">
        <v>39</v>
      </c>
      <c r="C8" s="117">
        <v>1.52</v>
      </c>
      <c r="D8" s="118">
        <f>IFERROR(N8/L8,0)</f>
        <v>0.98611111111111116</v>
      </c>
      <c r="E8" s="119">
        <v>68000</v>
      </c>
      <c r="F8" s="120">
        <f>-(L8-N8)*(E8/L8)</f>
        <v>-944.44444444444446</v>
      </c>
      <c r="G8" s="120">
        <f>E8+F8</f>
        <v>67055.555555555562</v>
      </c>
      <c r="H8" s="121">
        <f>-G8*'📋 Assumptions'!C15</f>
        <v>-24140</v>
      </c>
      <c r="I8" s="120">
        <f>G8+H8</f>
        <v>42915.555555555562</v>
      </c>
      <c r="J8" s="122">
        <v>7.0999999999999994E-2</v>
      </c>
      <c r="K8" s="121">
        <f>IFERROR(I8-I8/C8,0)</f>
        <v>14681.637426900586</v>
      </c>
      <c r="L8" s="113">
        <v>72</v>
      </c>
      <c r="M8" s="114">
        <f t="shared" si="0"/>
        <v>944.44444444444446</v>
      </c>
      <c r="N8" s="123">
        <v>71</v>
      </c>
      <c r="O8" s="1"/>
      <c r="P8" s="1"/>
      <c r="Q8" s="1"/>
      <c r="R8" s="1"/>
      <c r="S8" s="1"/>
    </row>
    <row r="9" spans="1:19" ht="21.75" customHeight="1" x14ac:dyDescent="0.35">
      <c r="A9" s="1"/>
      <c r="B9" s="124" t="s">
        <v>40</v>
      </c>
      <c r="C9" s="107">
        <v>1.18</v>
      </c>
      <c r="D9" s="108">
        <f>IFERROR(N9/L9,0)</f>
        <v>0.875</v>
      </c>
      <c r="E9" s="109">
        <v>35000</v>
      </c>
      <c r="F9" s="110">
        <f>-(L9-N9)*(E9/L9)</f>
        <v>-4375</v>
      </c>
      <c r="G9" s="110">
        <f>E9+F9</f>
        <v>30625</v>
      </c>
      <c r="H9" s="111">
        <f>-G9*'📋 Assumptions'!C15</f>
        <v>-11025</v>
      </c>
      <c r="I9" s="110">
        <f>G9+H9</f>
        <v>19600</v>
      </c>
      <c r="J9" s="112">
        <v>5.8000000000000003E-2</v>
      </c>
      <c r="K9" s="111">
        <f>IFERROR(I9-I9/C9,0)</f>
        <v>2989.8305084745771</v>
      </c>
      <c r="L9" s="113">
        <v>32</v>
      </c>
      <c r="M9" s="114">
        <f t="shared" si="0"/>
        <v>1093.75</v>
      </c>
      <c r="N9" s="115">
        <v>28</v>
      </c>
      <c r="O9" s="1"/>
      <c r="P9" s="1"/>
      <c r="Q9" s="1"/>
      <c r="R9" s="1"/>
      <c r="S9" s="1"/>
    </row>
    <row r="10" spans="1:19" ht="21.75" customHeight="1" x14ac:dyDescent="0.35">
      <c r="A10" s="1"/>
      <c r="B10" s="125" t="s">
        <v>42</v>
      </c>
      <c r="C10" s="117">
        <v>1.67</v>
      </c>
      <c r="D10" s="118">
        <f>IFERROR(N10/L10,0)</f>
        <v>1</v>
      </c>
      <c r="E10" s="119">
        <v>95000</v>
      </c>
      <c r="F10" s="120">
        <f>-(L10-N10)*(E10/L10)</f>
        <v>0</v>
      </c>
      <c r="G10" s="120">
        <f>E10+F10</f>
        <v>95000</v>
      </c>
      <c r="H10" s="121">
        <f>-G10*'📋 Assumptions'!C15</f>
        <v>-34200</v>
      </c>
      <c r="I10" s="120">
        <f>G10+H10</f>
        <v>60800</v>
      </c>
      <c r="J10" s="122">
        <v>7.8E-2</v>
      </c>
      <c r="K10" s="121">
        <f>IFERROR(I10-I10/C10,0)</f>
        <v>24392.814371257482</v>
      </c>
      <c r="L10" s="113">
        <v>120</v>
      </c>
      <c r="M10" s="114">
        <f t="shared" si="0"/>
        <v>791.66666666666663</v>
      </c>
      <c r="N10" s="123">
        <v>120</v>
      </c>
      <c r="O10" s="1"/>
      <c r="P10" s="1"/>
      <c r="Q10" s="1"/>
      <c r="R10" s="1"/>
      <c r="S10" s="1"/>
    </row>
    <row r="11" spans="1:19" ht="21.75" customHeight="1" x14ac:dyDescent="0.35">
      <c r="A11" s="1"/>
      <c r="B11" s="126" t="s">
        <v>43</v>
      </c>
      <c r="C11" s="107">
        <v>1.29</v>
      </c>
      <c r="D11" s="108">
        <f>IFERROR(N11/L11,0)</f>
        <v>0.91666666666666663</v>
      </c>
      <c r="E11" s="109">
        <v>55000</v>
      </c>
      <c r="F11" s="110">
        <f>-(L11-N11)*(E11/L11)</f>
        <v>-4583.333333333333</v>
      </c>
      <c r="G11" s="110">
        <f>E11+F11</f>
        <v>50416.666666666664</v>
      </c>
      <c r="H11" s="111">
        <f>-G11*'📋 Assumptions'!C15</f>
        <v>-18150</v>
      </c>
      <c r="I11" s="110">
        <f>G11+H11</f>
        <v>32266.666666666664</v>
      </c>
      <c r="J11" s="112">
        <v>6.5000000000000002E-2</v>
      </c>
      <c r="K11" s="111">
        <f>IFERROR(I11-I11/C11,0)</f>
        <v>7253.7467700258385</v>
      </c>
      <c r="L11" s="113">
        <v>60</v>
      </c>
      <c r="M11" s="114">
        <f t="shared" si="0"/>
        <v>916.66666666666663</v>
      </c>
      <c r="N11" s="115">
        <v>55</v>
      </c>
      <c r="O11" s="1"/>
      <c r="P11" s="1"/>
      <c r="Q11" s="1"/>
      <c r="R11" s="1"/>
      <c r="S11" s="1"/>
    </row>
    <row r="12" spans="1:19" ht="14.25" customHeight="1" x14ac:dyDescent="0.35">
      <c r="A12" s="1"/>
      <c r="B12" s="1" t="s">
        <v>239</v>
      </c>
      <c r="C12" s="1">
        <f>AVERAGE(C7:C11)</f>
        <v>1.4019999999999999</v>
      </c>
      <c r="D12" s="127">
        <f>IFERROR(SUM(N7:N11)/SUM(L7:L11),0)</f>
        <v>0.96084337349397586</v>
      </c>
      <c r="E12" s="128">
        <f>SUM(E7:E11)</f>
        <v>295000</v>
      </c>
      <c r="F12" s="128">
        <f>SUM(F7:F11)</f>
        <v>-12527.777777777777</v>
      </c>
      <c r="G12" s="128">
        <f>SUM(G7:G11)</f>
        <v>282472.22222222225</v>
      </c>
      <c r="H12" s="128">
        <f>SUM(H7:H11)</f>
        <v>-101690</v>
      </c>
      <c r="I12" s="128">
        <f>SUM(I7:I11)</f>
        <v>180782.22222222222</v>
      </c>
      <c r="J12" s="129">
        <f>AVERAGE(J7:J11)</f>
        <v>6.6799999999999998E-2</v>
      </c>
      <c r="K12" s="128">
        <f>SUM(K7:K11)</f>
        <v>55851.362409991823</v>
      </c>
      <c r="L12" s="130">
        <f>SUM(L7:L11)</f>
        <v>332</v>
      </c>
      <c r="M12" s="131">
        <f t="shared" si="0"/>
        <v>888.5542168674699</v>
      </c>
      <c r="N12" s="132">
        <f>SUM(N7:N11)</f>
        <v>319</v>
      </c>
      <c r="O12" s="1"/>
      <c r="P12" s="1"/>
      <c r="Q12" s="1"/>
      <c r="R12" s="1"/>
      <c r="S12" s="1"/>
    </row>
    <row r="13" spans="1:19" ht="14.2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4.25" customHeight="1" x14ac:dyDescent="0.35">
      <c r="A14" s="1"/>
      <c r="B14" s="317" t="s">
        <v>240</v>
      </c>
      <c r="C14" s="304"/>
      <c r="D14" s="304"/>
      <c r="E14" s="304"/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304"/>
      <c r="Q14" s="304"/>
      <c r="R14" s="1"/>
      <c r="S14" s="1"/>
    </row>
    <row r="15" spans="1:19" ht="14.2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1.75" customHeight="1" x14ac:dyDescent="0.35">
      <c r="A16" s="1"/>
      <c r="B16" s="133" t="s">
        <v>37</v>
      </c>
      <c r="C16" s="1"/>
      <c r="D16" s="134" t="s">
        <v>241</v>
      </c>
      <c r="E16" s="135" t="s">
        <v>242</v>
      </c>
      <c r="F16" s="1"/>
      <c r="G16" s="1"/>
      <c r="H16" s="1"/>
      <c r="I16" s="1"/>
      <c r="J16" s="1"/>
      <c r="K16" s="1"/>
      <c r="L16" s="136" t="s">
        <v>243</v>
      </c>
      <c r="M16" s="1"/>
      <c r="N16" s="1"/>
      <c r="O16" s="1"/>
      <c r="P16" s="1"/>
      <c r="Q16" s="1"/>
      <c r="R16" s="1"/>
      <c r="S16" s="1"/>
    </row>
    <row r="17" spans="1:19" ht="14.2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1.75" customHeight="1" x14ac:dyDescent="0.35">
      <c r="A18" s="1"/>
      <c r="B18" s="133" t="s">
        <v>39</v>
      </c>
      <c r="C18" s="1"/>
      <c r="D18" s="137" t="s">
        <v>244</v>
      </c>
      <c r="E18" s="138" t="s">
        <v>245</v>
      </c>
      <c r="F18" s="1"/>
      <c r="G18" s="1"/>
      <c r="H18" s="1"/>
      <c r="I18" s="1"/>
      <c r="J18" s="1"/>
      <c r="K18" s="1"/>
      <c r="L18" s="139" t="s">
        <v>243</v>
      </c>
      <c r="M18" s="1"/>
      <c r="N18" s="1"/>
      <c r="O18" s="1"/>
      <c r="P18" s="1"/>
      <c r="Q18" s="1"/>
      <c r="R18" s="1"/>
      <c r="S18" s="1"/>
    </row>
    <row r="19" spans="1:19" ht="14.2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21.75" customHeight="1" x14ac:dyDescent="0.35">
      <c r="A20" s="1"/>
      <c r="B20" s="133" t="s">
        <v>40</v>
      </c>
      <c r="C20" s="1"/>
      <c r="D20" s="140" t="s">
        <v>246</v>
      </c>
      <c r="E20" s="141" t="s">
        <v>247</v>
      </c>
      <c r="F20" s="1"/>
      <c r="G20" s="1"/>
      <c r="H20" s="1"/>
      <c r="I20" s="1"/>
      <c r="J20" s="1"/>
      <c r="K20" s="1"/>
      <c r="L20" s="142" t="s">
        <v>248</v>
      </c>
      <c r="M20" s="1"/>
      <c r="N20" s="1"/>
      <c r="O20" s="1"/>
      <c r="P20" s="1"/>
      <c r="Q20" s="1"/>
      <c r="R20" s="1"/>
      <c r="S20" s="1"/>
    </row>
    <row r="21" spans="1:19" ht="14.2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21.75" customHeight="1" x14ac:dyDescent="0.35">
      <c r="A22" s="1"/>
      <c r="B22" s="133" t="s">
        <v>42</v>
      </c>
      <c r="C22" s="1"/>
      <c r="D22" s="137" t="s">
        <v>249</v>
      </c>
      <c r="E22" s="138" t="s">
        <v>250</v>
      </c>
      <c r="F22" s="1"/>
      <c r="G22" s="1"/>
      <c r="H22" s="1"/>
      <c r="I22" s="1"/>
      <c r="J22" s="1"/>
      <c r="K22" s="1"/>
      <c r="L22" s="139" t="s">
        <v>243</v>
      </c>
      <c r="M22" s="1"/>
      <c r="N22" s="1"/>
      <c r="O22" s="1"/>
      <c r="P22" s="1"/>
      <c r="Q22" s="1"/>
      <c r="R22" s="1"/>
      <c r="S22" s="1"/>
    </row>
    <row r="23" spans="1:19" ht="14.2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21.75" customHeight="1" x14ac:dyDescent="0.35">
      <c r="A24" s="1"/>
      <c r="B24" s="133" t="s">
        <v>43</v>
      </c>
      <c r="C24" s="1"/>
      <c r="D24" s="134" t="s">
        <v>251</v>
      </c>
      <c r="E24" s="135" t="s">
        <v>242</v>
      </c>
      <c r="F24" s="1"/>
      <c r="G24" s="1"/>
      <c r="H24" s="1"/>
      <c r="I24" s="1"/>
      <c r="J24" s="1"/>
      <c r="K24" s="1"/>
      <c r="L24" s="136" t="s">
        <v>243</v>
      </c>
      <c r="M24" s="1"/>
      <c r="N24" s="1"/>
      <c r="O24" s="1"/>
      <c r="P24" s="1"/>
      <c r="Q24" s="1"/>
      <c r="R24" s="1"/>
      <c r="S24" s="1"/>
    </row>
    <row r="25" spans="1:19" ht="14.2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4.2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9.5" customHeight="1" x14ac:dyDescent="0.35">
      <c r="A27" s="1"/>
      <c r="B27" s="143" t="s">
        <v>252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4.25" customHeight="1" x14ac:dyDescent="0.35">
      <c r="A28" s="1"/>
      <c r="B28" s="144" t="s">
        <v>11</v>
      </c>
      <c r="C28" s="144" t="s">
        <v>12</v>
      </c>
      <c r="D28" s="144" t="s">
        <v>13</v>
      </c>
      <c r="E28" s="144" t="s">
        <v>14</v>
      </c>
      <c r="F28" s="144" t="s">
        <v>30</v>
      </c>
      <c r="G28" s="144" t="s">
        <v>4</v>
      </c>
      <c r="H28" s="144" t="s">
        <v>16</v>
      </c>
      <c r="I28" s="144" t="s">
        <v>7</v>
      </c>
      <c r="J28" s="144" t="s">
        <v>6</v>
      </c>
      <c r="K28" s="144" t="s">
        <v>5</v>
      </c>
      <c r="L28" s="1"/>
      <c r="M28" s="1"/>
      <c r="N28" s="1"/>
      <c r="O28" s="1"/>
      <c r="P28" s="1"/>
      <c r="Q28" s="1"/>
      <c r="R28" s="1"/>
      <c r="S28" s="1"/>
    </row>
    <row r="29" spans="1:19" ht="14.25" customHeight="1" x14ac:dyDescent="0.35">
      <c r="A29" s="1"/>
      <c r="B29" s="145" t="s">
        <v>17</v>
      </c>
      <c r="C29" s="146">
        <f>'📥 Data Pulls'!C13</f>
        <v>24583</v>
      </c>
      <c r="D29" s="146">
        <f>'📥 Data Pulls'!D13</f>
        <v>1425</v>
      </c>
      <c r="E29" s="146">
        <f>'📥 Data Pulls'!E13</f>
        <v>23158</v>
      </c>
      <c r="F29" s="147">
        <f>'📥 Data Pulls'!F13</f>
        <v>8336.8799999999992</v>
      </c>
      <c r="G29" s="146">
        <f>'📥 Data Pulls'!G13</f>
        <v>14821.12</v>
      </c>
      <c r="H29" s="146">
        <f>'📥 Data Pulls'!H13</f>
        <v>12667</v>
      </c>
      <c r="I29" s="146">
        <f>'📥 Data Pulls'!I13</f>
        <v>2154.1200000000008</v>
      </c>
      <c r="J29" s="147">
        <f>'📥 Data Pulls'!J13</f>
        <v>0.94203311231338727</v>
      </c>
      <c r="K29" s="148">
        <f>'📥 Data Pulls'!K13</f>
        <v>1.1700576300623668</v>
      </c>
      <c r="L29" s="1"/>
      <c r="M29" s="1"/>
      <c r="N29" s="1"/>
      <c r="O29" s="1"/>
      <c r="P29" s="1"/>
      <c r="Q29" s="1"/>
      <c r="R29" s="1"/>
      <c r="S29" s="1"/>
    </row>
    <row r="30" spans="1:19" ht="14.25" customHeight="1" x14ac:dyDescent="0.35">
      <c r="A30" s="1"/>
      <c r="B30" s="145" t="s">
        <v>18</v>
      </c>
      <c r="C30" s="146">
        <f>'📥 Data Pulls'!C14</f>
        <v>24100</v>
      </c>
      <c r="D30" s="146">
        <f>'📥 Data Pulls'!D14</f>
        <v>1800</v>
      </c>
      <c r="E30" s="146">
        <f>'📥 Data Pulls'!E14</f>
        <v>22300</v>
      </c>
      <c r="F30" s="147">
        <f>'📥 Data Pulls'!F14</f>
        <v>8028</v>
      </c>
      <c r="G30" s="146">
        <f>'📥 Data Pulls'!G14</f>
        <v>14272</v>
      </c>
      <c r="H30" s="146">
        <f>'📥 Data Pulls'!H14</f>
        <v>12667</v>
      </c>
      <c r="I30" s="146">
        <f>'📥 Data Pulls'!I14</f>
        <v>1605</v>
      </c>
      <c r="J30" s="147">
        <f>'📥 Data Pulls'!J14</f>
        <v>0.92531120331950212</v>
      </c>
      <c r="K30" s="148">
        <f>'📥 Data Pulls'!K14</f>
        <v>1.1267071919160021</v>
      </c>
      <c r="L30" s="1"/>
      <c r="M30" s="1"/>
      <c r="N30" s="1"/>
      <c r="O30" s="1"/>
      <c r="P30" s="1"/>
      <c r="Q30" s="1"/>
      <c r="R30" s="1"/>
      <c r="S30" s="1"/>
    </row>
    <row r="31" spans="1:19" ht="14.25" customHeight="1" x14ac:dyDescent="0.35">
      <c r="A31" s="1"/>
      <c r="B31" s="145" t="s">
        <v>19</v>
      </c>
      <c r="C31" s="146">
        <f>'📥 Data Pulls'!C15</f>
        <v>24583</v>
      </c>
      <c r="D31" s="146">
        <f>'📥 Data Pulls'!D15</f>
        <v>1425</v>
      </c>
      <c r="E31" s="146">
        <f>'📥 Data Pulls'!E15</f>
        <v>23158</v>
      </c>
      <c r="F31" s="147">
        <f>'📥 Data Pulls'!F15</f>
        <v>8336.8799999999992</v>
      </c>
      <c r="G31" s="146">
        <f>'📥 Data Pulls'!G15</f>
        <v>14821.12</v>
      </c>
      <c r="H31" s="146">
        <f>'📥 Data Pulls'!H15</f>
        <v>12667</v>
      </c>
      <c r="I31" s="146">
        <f>'📥 Data Pulls'!I15</f>
        <v>2154.1200000000008</v>
      </c>
      <c r="J31" s="147">
        <f>'📥 Data Pulls'!J15</f>
        <v>0.94203311231338727</v>
      </c>
      <c r="K31" s="148">
        <f>'📥 Data Pulls'!K15</f>
        <v>1.1700576300623668</v>
      </c>
      <c r="L31" s="1"/>
      <c r="M31" s="1"/>
      <c r="N31" s="1"/>
      <c r="O31" s="1"/>
      <c r="P31" s="1"/>
      <c r="Q31" s="1"/>
      <c r="R31" s="1"/>
      <c r="S31" s="1"/>
    </row>
    <row r="32" spans="1:19" ht="14.25" customHeight="1" x14ac:dyDescent="0.35">
      <c r="A32" s="1"/>
      <c r="B32" s="145" t="s">
        <v>20</v>
      </c>
      <c r="C32" s="146">
        <f>'📥 Data Pulls'!C16</f>
        <v>24583</v>
      </c>
      <c r="D32" s="146">
        <f>'📥 Data Pulls'!D16</f>
        <v>1425</v>
      </c>
      <c r="E32" s="146">
        <f>'📥 Data Pulls'!E16</f>
        <v>23158</v>
      </c>
      <c r="F32" s="146">
        <f>'📥 Data Pulls'!F16</f>
        <v>8336.8799999999992</v>
      </c>
      <c r="G32" s="146">
        <f>'📥 Data Pulls'!G16</f>
        <v>14821.12</v>
      </c>
      <c r="H32" s="146">
        <f>'📥 Data Pulls'!H16</f>
        <v>12667</v>
      </c>
      <c r="I32" s="146">
        <f>'📥 Data Pulls'!I16</f>
        <v>2154.1200000000008</v>
      </c>
      <c r="J32" s="147">
        <f>'📥 Data Pulls'!J16</f>
        <v>0.94203311231338727</v>
      </c>
      <c r="K32" s="148">
        <f>'📥 Data Pulls'!K16</f>
        <v>1.1700576300623668</v>
      </c>
      <c r="L32" s="1"/>
      <c r="M32" s="1"/>
      <c r="N32" s="1"/>
      <c r="O32" s="1"/>
      <c r="P32" s="1"/>
      <c r="Q32" s="1"/>
      <c r="R32" s="1"/>
      <c r="S32" s="1"/>
    </row>
    <row r="33" spans="1:19" ht="14.25" customHeight="1" x14ac:dyDescent="0.35">
      <c r="A33" s="1"/>
      <c r="B33" s="145" t="s">
        <v>21</v>
      </c>
      <c r="C33" s="146">
        <f>'📥 Data Pulls'!C17</f>
        <v>24900</v>
      </c>
      <c r="D33" s="146">
        <f>'📥 Data Pulls'!D17</f>
        <v>1200</v>
      </c>
      <c r="E33" s="146">
        <f>'📥 Data Pulls'!E17</f>
        <v>23700</v>
      </c>
      <c r="F33" s="146">
        <f>'📥 Data Pulls'!F17</f>
        <v>8532</v>
      </c>
      <c r="G33" s="146">
        <f>'📥 Data Pulls'!G17</f>
        <v>15168</v>
      </c>
      <c r="H33" s="146">
        <f>'📥 Data Pulls'!H17</f>
        <v>12667</v>
      </c>
      <c r="I33" s="146">
        <f>'📥 Data Pulls'!I17</f>
        <v>2501</v>
      </c>
      <c r="J33" s="147">
        <f>'📥 Data Pulls'!J17</f>
        <v>0.95180722891566261</v>
      </c>
      <c r="K33" s="148">
        <f>'📥 Data Pulls'!K17</f>
        <v>1.197442172574406</v>
      </c>
      <c r="L33" s="1"/>
      <c r="M33" s="1"/>
      <c r="N33" s="1"/>
      <c r="O33" s="1"/>
      <c r="P33" s="1"/>
      <c r="Q33" s="1"/>
      <c r="R33" s="1"/>
      <c r="S33" s="1"/>
    </row>
    <row r="34" spans="1:19" ht="14.25" customHeight="1" x14ac:dyDescent="0.35">
      <c r="A34" s="1"/>
      <c r="B34" s="145" t="s">
        <v>22</v>
      </c>
      <c r="C34" s="146">
        <f>'📥 Data Pulls'!C18</f>
        <v>25200</v>
      </c>
      <c r="D34" s="146">
        <f>'📥 Data Pulls'!D18</f>
        <v>1000</v>
      </c>
      <c r="E34" s="146">
        <f>'📥 Data Pulls'!E18</f>
        <v>24200</v>
      </c>
      <c r="F34" s="146">
        <f>'📥 Data Pulls'!F18</f>
        <v>8712</v>
      </c>
      <c r="G34" s="146">
        <f>'📥 Data Pulls'!G18</f>
        <v>15488</v>
      </c>
      <c r="H34" s="146">
        <f>'📥 Data Pulls'!H18</f>
        <v>12667</v>
      </c>
      <c r="I34" s="146">
        <f>'📥 Data Pulls'!I18</f>
        <v>2821</v>
      </c>
      <c r="J34" s="147">
        <f>'📥 Data Pulls'!J18</f>
        <v>0.96031746031746035</v>
      </c>
      <c r="K34" s="148">
        <f>'📥 Data Pulls'!K18</f>
        <v>1.2227046656666929</v>
      </c>
      <c r="L34" s="1"/>
      <c r="M34" s="1"/>
      <c r="N34" s="1"/>
      <c r="O34" s="1"/>
      <c r="P34" s="1"/>
      <c r="Q34" s="1"/>
      <c r="R34" s="1"/>
      <c r="S34" s="1"/>
    </row>
    <row r="35" spans="1:19" ht="14.25" customHeight="1" x14ac:dyDescent="0.35">
      <c r="A35" s="1"/>
      <c r="B35" s="145" t="s">
        <v>23</v>
      </c>
      <c r="C35" s="146">
        <f>'📥 Data Pulls'!C19</f>
        <v>25200</v>
      </c>
      <c r="D35" s="146">
        <f>'📥 Data Pulls'!D19</f>
        <v>1000</v>
      </c>
      <c r="E35" s="146">
        <f>'📥 Data Pulls'!E19</f>
        <v>24200</v>
      </c>
      <c r="F35" s="146">
        <f>'📥 Data Pulls'!F19</f>
        <v>8712</v>
      </c>
      <c r="G35" s="146">
        <f>'📥 Data Pulls'!G19</f>
        <v>15488</v>
      </c>
      <c r="H35" s="146">
        <f>'📥 Data Pulls'!H19</f>
        <v>12667</v>
      </c>
      <c r="I35" s="146">
        <f>'📥 Data Pulls'!I19</f>
        <v>2821</v>
      </c>
      <c r="J35" s="147">
        <f>'📥 Data Pulls'!J19</f>
        <v>0.96031746031746035</v>
      </c>
      <c r="K35" s="148">
        <f>'📥 Data Pulls'!K19</f>
        <v>1.2227046656666929</v>
      </c>
      <c r="L35" s="1"/>
      <c r="M35" s="1"/>
      <c r="N35" s="1"/>
      <c r="O35" s="1"/>
      <c r="P35" s="1"/>
      <c r="Q35" s="1"/>
      <c r="R35" s="1"/>
      <c r="S35" s="1"/>
    </row>
    <row r="36" spans="1:19" ht="14.25" customHeight="1" x14ac:dyDescent="0.35">
      <c r="A36" s="1"/>
      <c r="B36" s="145" t="s">
        <v>24</v>
      </c>
      <c r="C36" s="146">
        <f>'📥 Data Pulls'!C20</f>
        <v>25200</v>
      </c>
      <c r="D36" s="146">
        <f>'📥 Data Pulls'!D20</f>
        <v>1000</v>
      </c>
      <c r="E36" s="146">
        <f>'📥 Data Pulls'!E20</f>
        <v>24200</v>
      </c>
      <c r="F36" s="146">
        <f>'📥 Data Pulls'!F20</f>
        <v>8712</v>
      </c>
      <c r="G36" s="146">
        <f>'📥 Data Pulls'!G20</f>
        <v>15488</v>
      </c>
      <c r="H36" s="146">
        <f>'📥 Data Pulls'!H20</f>
        <v>12667</v>
      </c>
      <c r="I36" s="146">
        <f>'📥 Data Pulls'!I20</f>
        <v>2821</v>
      </c>
      <c r="J36" s="147">
        <f>'📥 Data Pulls'!J20</f>
        <v>0.96031746031746035</v>
      </c>
      <c r="K36" s="148">
        <f>'📥 Data Pulls'!K20</f>
        <v>1.2227046656666929</v>
      </c>
      <c r="L36" s="1"/>
      <c r="M36" s="1"/>
      <c r="N36" s="1"/>
      <c r="O36" s="1"/>
      <c r="P36" s="1"/>
      <c r="Q36" s="1"/>
      <c r="R36" s="1"/>
      <c r="S36" s="1"/>
    </row>
    <row r="37" spans="1:19" ht="14.25" customHeight="1" x14ac:dyDescent="0.35">
      <c r="A37" s="1"/>
      <c r="B37" s="145" t="s">
        <v>25</v>
      </c>
      <c r="C37" s="146">
        <f>'📥 Data Pulls'!C21</f>
        <v>25000</v>
      </c>
      <c r="D37" s="146">
        <f>'📥 Data Pulls'!D21</f>
        <v>1250</v>
      </c>
      <c r="E37" s="146">
        <f>'📥 Data Pulls'!E21</f>
        <v>23750</v>
      </c>
      <c r="F37" s="146">
        <f>'📥 Data Pulls'!F21</f>
        <v>8550</v>
      </c>
      <c r="G37" s="146">
        <f>'📥 Data Pulls'!G21</f>
        <v>15200</v>
      </c>
      <c r="H37" s="146">
        <f>'📥 Data Pulls'!H21</f>
        <v>12667</v>
      </c>
      <c r="I37" s="146">
        <f>'📥 Data Pulls'!I21</f>
        <v>2533</v>
      </c>
      <c r="J37" s="147">
        <f>'📥 Data Pulls'!J21</f>
        <v>0.95</v>
      </c>
      <c r="K37" s="148">
        <f>'📥 Data Pulls'!K21</f>
        <v>1.1999684218836346</v>
      </c>
      <c r="L37" s="1"/>
      <c r="M37" s="1"/>
      <c r="N37" s="1"/>
      <c r="O37" s="1"/>
      <c r="P37" s="1"/>
      <c r="Q37" s="1"/>
      <c r="R37" s="1"/>
      <c r="S37" s="1"/>
    </row>
    <row r="38" spans="1:19" ht="14.25" customHeight="1" x14ac:dyDescent="0.35">
      <c r="A38" s="1"/>
      <c r="B38" s="145" t="s">
        <v>26</v>
      </c>
      <c r="C38" s="146">
        <f>'📥 Data Pulls'!C22</f>
        <v>24900</v>
      </c>
      <c r="D38" s="146">
        <f>'📥 Data Pulls'!D22</f>
        <v>1400</v>
      </c>
      <c r="E38" s="146">
        <f>'📥 Data Pulls'!E22</f>
        <v>23500</v>
      </c>
      <c r="F38" s="146">
        <f>'📥 Data Pulls'!F22</f>
        <v>8460</v>
      </c>
      <c r="G38" s="146">
        <f>'📥 Data Pulls'!G22</f>
        <v>15040</v>
      </c>
      <c r="H38" s="146">
        <f>'📥 Data Pulls'!H22</f>
        <v>12667</v>
      </c>
      <c r="I38" s="146">
        <f>'📥 Data Pulls'!I22</f>
        <v>2373</v>
      </c>
      <c r="J38" s="147">
        <f>'📥 Data Pulls'!J22</f>
        <v>0.94377510040160639</v>
      </c>
      <c r="K38" s="148">
        <f>'📥 Data Pulls'!K22</f>
        <v>1.1873371753374911</v>
      </c>
      <c r="L38" s="1"/>
      <c r="M38" s="1"/>
      <c r="N38" s="1"/>
      <c r="O38" s="1"/>
      <c r="P38" s="1"/>
      <c r="Q38" s="1"/>
      <c r="R38" s="1"/>
      <c r="S38" s="1"/>
    </row>
    <row r="39" spans="1:19" ht="14.25" customHeight="1" x14ac:dyDescent="0.35">
      <c r="A39" s="1"/>
      <c r="B39" s="145" t="s">
        <v>27</v>
      </c>
      <c r="C39" s="146">
        <f>'📥 Data Pulls'!C23</f>
        <v>24583</v>
      </c>
      <c r="D39" s="146">
        <f>'📥 Data Pulls'!D23</f>
        <v>1425</v>
      </c>
      <c r="E39" s="146">
        <f>'📥 Data Pulls'!E23</f>
        <v>23158</v>
      </c>
      <c r="F39" s="146">
        <f>'📥 Data Pulls'!F23</f>
        <v>8336.8799999999992</v>
      </c>
      <c r="G39" s="146">
        <f>'📥 Data Pulls'!G23</f>
        <v>14821.12</v>
      </c>
      <c r="H39" s="146">
        <f>'📥 Data Pulls'!H23</f>
        <v>12667</v>
      </c>
      <c r="I39" s="146">
        <f>'📥 Data Pulls'!I23</f>
        <v>2154.1200000000008</v>
      </c>
      <c r="J39" s="147">
        <f>'📥 Data Pulls'!J23</f>
        <v>0.94203311231338727</v>
      </c>
      <c r="K39" s="148">
        <f>'📥 Data Pulls'!K23</f>
        <v>1.1700576300623668</v>
      </c>
      <c r="L39" s="1"/>
      <c r="M39" s="1"/>
      <c r="N39" s="1"/>
      <c r="O39" s="1"/>
      <c r="P39" s="1"/>
      <c r="Q39" s="1"/>
      <c r="R39" s="1"/>
      <c r="S39" s="1"/>
    </row>
    <row r="40" spans="1:19" ht="14.25" customHeight="1" x14ac:dyDescent="0.35">
      <c r="A40" s="1"/>
      <c r="B40" s="145" t="s">
        <v>28</v>
      </c>
      <c r="C40" s="146">
        <f>'📥 Data Pulls'!C24</f>
        <v>24583</v>
      </c>
      <c r="D40" s="146">
        <f>'📥 Data Pulls'!D24</f>
        <v>1425</v>
      </c>
      <c r="E40" s="146">
        <f>'📥 Data Pulls'!E24</f>
        <v>23158</v>
      </c>
      <c r="F40" s="146">
        <f>'📥 Data Pulls'!F24</f>
        <v>8336.8799999999992</v>
      </c>
      <c r="G40" s="146">
        <f>'📥 Data Pulls'!G24</f>
        <v>14821.12</v>
      </c>
      <c r="H40" s="146">
        <f>'📥 Data Pulls'!H24</f>
        <v>12667</v>
      </c>
      <c r="I40" s="146">
        <f>'📥 Data Pulls'!I24</f>
        <v>2154.1200000000008</v>
      </c>
      <c r="J40" s="147">
        <f>'📥 Data Pulls'!J24</f>
        <v>0.94203311231338727</v>
      </c>
      <c r="K40" s="148">
        <f>'📥 Data Pulls'!K24</f>
        <v>1.1700576300623668</v>
      </c>
      <c r="L40" s="1"/>
      <c r="M40" s="1"/>
      <c r="N40" s="1"/>
      <c r="O40" s="1"/>
      <c r="P40" s="1"/>
      <c r="Q40" s="1"/>
      <c r="R40" s="1"/>
      <c r="S40" s="1"/>
    </row>
    <row r="41" spans="1:19" ht="14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4.2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4.2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4.2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4.2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4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.2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.2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.2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.2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.2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4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4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4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4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</sheetData>
  <mergeCells count="3">
    <mergeCell ref="B4:Q4"/>
    <mergeCell ref="A2:Q2"/>
    <mergeCell ref="B14:Q1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AB308"/>
  </sheetPr>
  <dimension ref="A1:S59"/>
  <sheetViews>
    <sheetView showGridLines="0" topLeftCell="A4" zoomScaleNormal="100" workbookViewId="0">
      <selection activeCell="B4" sqref="B4"/>
    </sheetView>
  </sheetViews>
  <sheetFormatPr defaultColWidth="8.6328125" defaultRowHeight="14.5" x14ac:dyDescent="0.35"/>
  <cols>
    <col min="1" max="1" width="19.54296875" customWidth="1"/>
    <col min="2" max="19" width="18.7265625" customWidth="1"/>
  </cols>
  <sheetData>
    <row r="1" spans="1:19" ht="7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9.75" customHeight="1" x14ac:dyDescent="0.35">
      <c r="A2" s="401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1"/>
      <c r="Q2" s="1"/>
      <c r="R2" s="1"/>
      <c r="S2" s="1"/>
    </row>
    <row r="3" spans="1:19" ht="14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4.25" customHeight="1" x14ac:dyDescent="0.35">
      <c r="A4" s="1"/>
      <c r="B4" s="317" t="s">
        <v>253</v>
      </c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1"/>
      <c r="Q4" s="1"/>
      <c r="R4" s="1"/>
      <c r="S4" s="1"/>
    </row>
    <row r="5" spans="1:19" ht="14.25" customHeigh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1.75" customHeight="1" x14ac:dyDescent="0.35">
      <c r="A6" s="1"/>
      <c r="B6" s="406" t="s">
        <v>254</v>
      </c>
      <c r="C6" s="404"/>
      <c r="D6" s="404"/>
      <c r="E6" s="404"/>
      <c r="F6" s="404"/>
      <c r="G6" s="404"/>
      <c r="H6" s="404"/>
      <c r="I6" s="404"/>
      <c r="J6" s="149">
        <f>SUM('📥 Data Pulls'!C13:C24)</f>
        <v>297415</v>
      </c>
      <c r="K6" s="1"/>
      <c r="L6" s="1"/>
      <c r="M6" s="1"/>
      <c r="N6" s="1"/>
      <c r="O6" s="1"/>
      <c r="P6" s="1"/>
      <c r="Q6" s="1"/>
      <c r="R6" s="1"/>
      <c r="S6" s="1"/>
    </row>
    <row r="7" spans="1:19" ht="21.75" customHeight="1" x14ac:dyDescent="0.35">
      <c r="A7" s="1"/>
      <c r="B7" s="402" t="s">
        <v>255</v>
      </c>
      <c r="C7" s="304"/>
      <c r="D7" s="304"/>
      <c r="E7" s="304"/>
      <c r="F7" s="304"/>
      <c r="G7" s="304"/>
      <c r="H7" s="304"/>
      <c r="I7" s="304"/>
      <c r="J7" s="151">
        <f>-SUM('📥 Data Pulls'!D13:D24)</f>
        <v>-15775</v>
      </c>
      <c r="K7" s="1"/>
      <c r="L7" s="1"/>
      <c r="M7" s="1"/>
      <c r="N7" s="1"/>
      <c r="O7" s="1"/>
      <c r="P7" s="1"/>
      <c r="Q7" s="1"/>
      <c r="R7" s="1"/>
      <c r="S7" s="1"/>
    </row>
    <row r="8" spans="1:19" ht="21.75" customHeight="1" x14ac:dyDescent="0.35">
      <c r="A8" s="1"/>
      <c r="B8" s="405" t="s">
        <v>256</v>
      </c>
      <c r="C8" s="304"/>
      <c r="D8" s="304"/>
      <c r="E8" s="304"/>
      <c r="F8" s="304"/>
      <c r="G8" s="304"/>
      <c r="H8" s="304"/>
      <c r="I8" s="304"/>
      <c r="J8" s="153">
        <f>-'📋 Assumptions'!C38</f>
        <v>-2950</v>
      </c>
      <c r="K8" s="1"/>
      <c r="L8" s="1"/>
      <c r="M8" s="1"/>
      <c r="N8" s="1"/>
      <c r="O8" s="1"/>
      <c r="P8" s="1"/>
      <c r="Q8" s="1"/>
      <c r="R8" s="1"/>
      <c r="S8" s="1"/>
    </row>
    <row r="9" spans="1:19" ht="21.75" customHeight="1" x14ac:dyDescent="0.35">
      <c r="A9" s="1"/>
      <c r="B9" s="402" t="s">
        <v>257</v>
      </c>
      <c r="C9" s="304"/>
      <c r="D9" s="304"/>
      <c r="E9" s="304"/>
      <c r="F9" s="304"/>
      <c r="G9" s="304"/>
      <c r="H9" s="304"/>
      <c r="I9" s="304"/>
      <c r="J9" s="154">
        <f>-SUM('📥 Data Pulls'!E13:E24)*'📋 Assumptions'!C10</f>
        <v>-1408.2</v>
      </c>
      <c r="K9" s="1"/>
      <c r="L9" s="1"/>
      <c r="M9" s="1"/>
      <c r="N9" s="1"/>
      <c r="O9" s="1"/>
      <c r="P9" s="1"/>
      <c r="Q9" s="1"/>
      <c r="R9" s="1"/>
      <c r="S9" s="1"/>
    </row>
    <row r="10" spans="1:19" ht="21.75" customHeight="1" x14ac:dyDescent="0.35">
      <c r="A10" s="1"/>
      <c r="B10" s="407" t="s">
        <v>258</v>
      </c>
      <c r="C10" s="404"/>
      <c r="D10" s="404"/>
      <c r="E10" s="404"/>
      <c r="F10" s="404"/>
      <c r="G10" s="404"/>
      <c r="H10" s="404"/>
      <c r="I10" s="404"/>
      <c r="J10" s="155">
        <f>SUM('📥 Data Pulls'!E13:E24)</f>
        <v>281640</v>
      </c>
      <c r="K10" s="1"/>
      <c r="L10" s="1"/>
      <c r="M10" s="1"/>
      <c r="N10" s="1"/>
      <c r="O10" s="1"/>
      <c r="P10" s="1"/>
      <c r="Q10" s="1"/>
      <c r="R10" s="1"/>
      <c r="S10" s="1"/>
    </row>
    <row r="11" spans="1:19" ht="21.75" customHeight="1" x14ac:dyDescent="0.35">
      <c r="A11" s="1"/>
      <c r="B11" s="402" t="s">
        <v>259</v>
      </c>
      <c r="C11" s="304"/>
      <c r="D11" s="304"/>
      <c r="E11" s="304"/>
      <c r="F11" s="304"/>
      <c r="G11" s="304"/>
      <c r="H11" s="304"/>
      <c r="I11" s="304"/>
      <c r="J11" s="154">
        <f>-SUM('📥 Data Pulls'!E13:E24)*'📋 Assumptions'!C16</f>
        <v>-14082</v>
      </c>
      <c r="K11" s="1"/>
      <c r="L11" s="1"/>
      <c r="M11" s="1"/>
      <c r="N11" s="1"/>
      <c r="O11" s="1"/>
      <c r="P11" s="1"/>
      <c r="Q11" s="1"/>
      <c r="R11" s="1"/>
      <c r="S11" s="1"/>
    </row>
    <row r="12" spans="1:19" ht="21.75" customHeight="1" x14ac:dyDescent="0.35">
      <c r="A12" s="1"/>
      <c r="B12" s="405" t="s">
        <v>260</v>
      </c>
      <c r="C12" s="304"/>
      <c r="D12" s="304"/>
      <c r="E12" s="304"/>
      <c r="F12" s="304"/>
      <c r="G12" s="304"/>
      <c r="H12" s="304"/>
      <c r="I12" s="304"/>
      <c r="J12" s="153">
        <f>-'📋 Assumptions'!C41</f>
        <v>-8275</v>
      </c>
      <c r="K12" s="1"/>
      <c r="L12" s="1"/>
      <c r="M12" s="1"/>
      <c r="N12" s="1"/>
      <c r="O12" s="1"/>
      <c r="P12" s="1"/>
      <c r="Q12" s="1"/>
      <c r="R12" s="1"/>
      <c r="S12" s="1"/>
    </row>
    <row r="13" spans="1:19" ht="21.75" customHeight="1" x14ac:dyDescent="0.35">
      <c r="A13" s="1"/>
      <c r="B13" s="402" t="s">
        <v>261</v>
      </c>
      <c r="C13" s="304"/>
      <c r="D13" s="304"/>
      <c r="E13" s="304"/>
      <c r="F13" s="304"/>
      <c r="G13" s="304"/>
      <c r="H13" s="304"/>
      <c r="I13" s="304"/>
      <c r="J13" s="154">
        <f>-'📋 Assumptions'!C42</f>
        <v>-22066</v>
      </c>
      <c r="K13" s="1"/>
      <c r="L13" s="1"/>
      <c r="M13" s="1"/>
      <c r="N13" s="1"/>
      <c r="O13" s="1"/>
      <c r="P13" s="1"/>
      <c r="Q13" s="1"/>
      <c r="R13" s="1"/>
      <c r="S13" s="1"/>
    </row>
    <row r="14" spans="1:19" ht="21.75" customHeight="1" x14ac:dyDescent="0.35">
      <c r="A14" s="1"/>
      <c r="B14" s="405" t="s">
        <v>262</v>
      </c>
      <c r="C14" s="304"/>
      <c r="D14" s="304"/>
      <c r="E14" s="304"/>
      <c r="F14" s="304"/>
      <c r="G14" s="304"/>
      <c r="H14" s="304"/>
      <c r="I14" s="304"/>
      <c r="J14" s="153">
        <f>-SUM('📥 Data Pulls'!E13:E24)*'📋 Assumptions'!C43</f>
        <v>-22531.200000000001</v>
      </c>
      <c r="K14" s="1"/>
      <c r="L14" s="1"/>
      <c r="M14" s="1"/>
      <c r="N14" s="1"/>
      <c r="O14" s="1"/>
      <c r="P14" s="1"/>
      <c r="Q14" s="1"/>
      <c r="R14" s="1"/>
      <c r="S14" s="1"/>
    </row>
    <row r="15" spans="1:19" ht="21.75" customHeight="1" x14ac:dyDescent="0.35">
      <c r="A15" s="1"/>
      <c r="B15" s="402" t="s">
        <v>263</v>
      </c>
      <c r="C15" s="304"/>
      <c r="D15" s="304"/>
      <c r="E15" s="304"/>
      <c r="F15" s="304"/>
      <c r="G15" s="304"/>
      <c r="H15" s="304"/>
      <c r="I15" s="304"/>
      <c r="J15" s="154">
        <f>-SUM('📥 Data Pulls'!E13:E24)*'📋 Assumptions'!C44</f>
        <v>-7041</v>
      </c>
      <c r="K15" s="1"/>
      <c r="L15" s="1"/>
      <c r="M15" s="1"/>
      <c r="N15" s="1"/>
      <c r="O15" s="1"/>
      <c r="P15" s="1"/>
      <c r="Q15" s="1"/>
      <c r="R15" s="1"/>
      <c r="S15" s="1"/>
    </row>
    <row r="16" spans="1:19" ht="21.75" customHeight="1" x14ac:dyDescent="0.35">
      <c r="A16" s="1"/>
      <c r="B16" s="405" t="s">
        <v>264</v>
      </c>
      <c r="C16" s="304"/>
      <c r="D16" s="304"/>
      <c r="E16" s="304"/>
      <c r="F16" s="304"/>
      <c r="G16" s="304"/>
      <c r="H16" s="304"/>
      <c r="I16" s="304"/>
      <c r="J16" s="153">
        <f>-SUM('📥 Data Pulls'!E13:E24)*'📋 Assumptions'!C45</f>
        <v>-5069.5199999999995</v>
      </c>
      <c r="K16" s="1"/>
      <c r="L16" s="1"/>
      <c r="M16" s="1"/>
      <c r="N16" s="1"/>
      <c r="O16" s="1"/>
      <c r="P16" s="1"/>
      <c r="Q16" s="1"/>
      <c r="R16" s="1"/>
      <c r="S16" s="1"/>
    </row>
    <row r="17" spans="1:19" ht="21.75" customHeight="1" x14ac:dyDescent="0.35">
      <c r="A17" s="1"/>
      <c r="B17" s="408" t="s">
        <v>265</v>
      </c>
      <c r="C17" s="404"/>
      <c r="D17" s="404"/>
      <c r="E17" s="404"/>
      <c r="F17" s="404"/>
      <c r="G17" s="404"/>
      <c r="H17" s="404"/>
      <c r="I17" s="404"/>
      <c r="J17" s="156">
        <f>ABS(J11)+ABS(J12)+ABS(J13)+ABS(J14)+ABS(J15)+ABS(J16)</f>
        <v>79064.72</v>
      </c>
      <c r="K17" s="1"/>
      <c r="L17" s="1"/>
      <c r="M17" s="1"/>
      <c r="N17" s="1"/>
      <c r="O17" s="1"/>
      <c r="P17" s="1"/>
      <c r="Q17" s="1"/>
      <c r="R17" s="1"/>
      <c r="S17" s="1"/>
    </row>
    <row r="18" spans="1:19" ht="21.75" customHeight="1" x14ac:dyDescent="0.35">
      <c r="A18" s="1"/>
      <c r="B18" s="403" t="s">
        <v>108</v>
      </c>
      <c r="C18" s="404"/>
      <c r="D18" s="404"/>
      <c r="E18" s="404"/>
      <c r="F18" s="404"/>
      <c r="G18" s="404"/>
      <c r="H18" s="404"/>
      <c r="I18" s="404"/>
      <c r="J18" s="157">
        <f>SUM('📥 Data Pulls'!G13:G24)</f>
        <v>180249.60000000001</v>
      </c>
      <c r="K18" s="1"/>
      <c r="L18" s="1"/>
      <c r="M18" s="1"/>
      <c r="N18" s="1"/>
      <c r="O18" s="1"/>
      <c r="P18" s="1"/>
      <c r="Q18" s="1"/>
      <c r="R18" s="1"/>
      <c r="S18" s="1"/>
    </row>
    <row r="19" spans="1:19" ht="21.75" customHeight="1" x14ac:dyDescent="0.35">
      <c r="A19" s="1"/>
      <c r="B19" s="402" t="s">
        <v>266</v>
      </c>
      <c r="C19" s="304"/>
      <c r="D19" s="304"/>
      <c r="E19" s="304"/>
      <c r="F19" s="304"/>
      <c r="G19" s="304"/>
      <c r="H19" s="304"/>
      <c r="I19" s="304"/>
      <c r="J19" s="151">
        <f>-SUM('📥 Data Pulls'!H13:H24)</f>
        <v>-152004</v>
      </c>
      <c r="K19" s="1"/>
      <c r="L19" s="1"/>
      <c r="M19" s="1"/>
      <c r="N19" s="1"/>
      <c r="O19" s="1"/>
      <c r="P19" s="1"/>
      <c r="Q19" s="1"/>
      <c r="R19" s="1"/>
      <c r="S19" s="1"/>
    </row>
    <row r="20" spans="1:19" ht="21.75" customHeight="1" x14ac:dyDescent="0.35">
      <c r="A20" s="1"/>
      <c r="B20" s="406" t="s">
        <v>267</v>
      </c>
      <c r="C20" s="404"/>
      <c r="D20" s="404"/>
      <c r="E20" s="404"/>
      <c r="F20" s="404"/>
      <c r="G20" s="404"/>
      <c r="H20" s="404"/>
      <c r="I20" s="404"/>
      <c r="J20" s="149">
        <f>SUM('📥 Data Pulls'!I13:I24)</f>
        <v>28245.600000000006</v>
      </c>
      <c r="K20" s="1"/>
      <c r="L20" s="1"/>
      <c r="M20" s="1"/>
      <c r="N20" s="1"/>
      <c r="O20" s="1"/>
      <c r="P20" s="1"/>
      <c r="Q20" s="1"/>
      <c r="R20" s="1"/>
      <c r="S20" s="1"/>
    </row>
    <row r="21" spans="1:19" ht="14.2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4.2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4.2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4.2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4.2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4.2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4.2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4.2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4.2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4.2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4.2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4.2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4.2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4.2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4.2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4.2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4.2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4.2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4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4.2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4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4.2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4.2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4.2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4.2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4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.2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.2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.2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.2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.2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4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4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4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4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</sheetData>
  <mergeCells count="17">
    <mergeCell ref="B20:I20"/>
    <mergeCell ref="B10:I10"/>
    <mergeCell ref="B19:I19"/>
    <mergeCell ref="B14:I14"/>
    <mergeCell ref="B8:I8"/>
    <mergeCell ref="B17:I17"/>
    <mergeCell ref="A2:O2"/>
    <mergeCell ref="B15:I15"/>
    <mergeCell ref="B7:I7"/>
    <mergeCell ref="B11:I11"/>
    <mergeCell ref="B6:I6"/>
    <mergeCell ref="B9:I9"/>
    <mergeCell ref="B13:I13"/>
    <mergeCell ref="B18:I18"/>
    <mergeCell ref="B12:I12"/>
    <mergeCell ref="B4:O4"/>
    <mergeCell ref="B16:I1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855F7"/>
  </sheetPr>
  <dimension ref="A1:S59"/>
  <sheetViews>
    <sheetView showGridLines="0" zoomScaleNormal="100" workbookViewId="0"/>
  </sheetViews>
  <sheetFormatPr defaultColWidth="8.6328125" defaultRowHeight="14.5" x14ac:dyDescent="0.35"/>
  <cols>
    <col min="1" max="19" width="19.54296875" customWidth="1"/>
  </cols>
  <sheetData>
    <row r="1" spans="1:19" ht="7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9.75" customHeight="1" x14ac:dyDescent="0.35">
      <c r="A2" s="401"/>
      <c r="B2" s="304"/>
      <c r="C2" s="304"/>
      <c r="D2" s="304"/>
      <c r="E2" s="304"/>
      <c r="F2" s="304"/>
      <c r="G2" s="304"/>
      <c r="H2" s="304"/>
      <c r="I2" s="304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4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4.25" customHeight="1" x14ac:dyDescent="0.35">
      <c r="A4" s="1"/>
      <c r="B4" s="317" t="s">
        <v>268</v>
      </c>
      <c r="C4" s="304"/>
      <c r="D4" s="304"/>
      <c r="E4" s="304"/>
      <c r="F4" s="304"/>
      <c r="G4" s="304"/>
      <c r="H4" s="304"/>
      <c r="I4" s="304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4.25" customHeigh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1.75" customHeight="1" x14ac:dyDescent="0.35">
      <c r="A6" s="1"/>
      <c r="B6" s="315" t="s">
        <v>269</v>
      </c>
      <c r="C6" s="304"/>
      <c r="D6" s="304"/>
      <c r="E6" s="304"/>
      <c r="F6" s="158">
        <f>'📋 Assumptions'!C7</f>
        <v>0.08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1.75" customHeight="1" x14ac:dyDescent="0.35">
      <c r="A7" s="1"/>
      <c r="B7" s="315" t="s">
        <v>270</v>
      </c>
      <c r="C7" s="304"/>
      <c r="D7" s="304"/>
      <c r="E7" s="304"/>
      <c r="F7" s="159">
        <f>'📋 Assumptions'!C36</f>
        <v>4.4999999999999998E-2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1.75" customHeight="1" x14ac:dyDescent="0.35">
      <c r="A8" s="1"/>
      <c r="B8" s="315" t="s">
        <v>271</v>
      </c>
      <c r="C8" s="304"/>
      <c r="D8" s="304"/>
      <c r="E8" s="304"/>
      <c r="F8" s="158">
        <f>'📋 Assumptions'!C9</f>
        <v>0.05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1.75" customHeight="1" x14ac:dyDescent="0.35">
      <c r="A9" s="1"/>
      <c r="B9" s="315" t="s">
        <v>272</v>
      </c>
      <c r="C9" s="304"/>
      <c r="D9" s="304"/>
      <c r="E9" s="304"/>
      <c r="F9" s="159">
        <f>'📋 Assumptions'!C37</f>
        <v>0.03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21.75" customHeight="1" x14ac:dyDescent="0.35">
      <c r="A10" s="1"/>
      <c r="B10" s="315" t="s">
        <v>273</v>
      </c>
      <c r="C10" s="304"/>
      <c r="D10" s="304"/>
      <c r="E10" s="304"/>
      <c r="F10" s="160">
        <f>'💳 Amortization'!F11*12</f>
        <v>151696.32563831127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4.2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4.2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4.25" customHeight="1" x14ac:dyDescent="0.35">
      <c r="A13" s="1"/>
      <c r="B13" s="317" t="s">
        <v>274</v>
      </c>
      <c r="C13" s="304"/>
      <c r="D13" s="304"/>
      <c r="E13" s="304"/>
      <c r="F13" s="304"/>
      <c r="G13" s="304"/>
      <c r="H13" s="304"/>
      <c r="I13" s="304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4.2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1.75" customHeight="1" x14ac:dyDescent="0.35">
      <c r="A15" s="1"/>
      <c r="B15" s="161" t="s">
        <v>1</v>
      </c>
      <c r="C15" s="162" t="s">
        <v>275</v>
      </c>
      <c r="D15" s="162" t="s">
        <v>276</v>
      </c>
      <c r="E15" s="162" t="s">
        <v>277</v>
      </c>
      <c r="F15" s="162" t="s">
        <v>278</v>
      </c>
      <c r="G15" s="162" t="s">
        <v>279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1.75" customHeight="1" x14ac:dyDescent="0.35">
      <c r="A16" s="1"/>
      <c r="B16" s="6" t="s">
        <v>280</v>
      </c>
      <c r="C16" s="163" t="str">
        <f>TEXT('⚙️ NOI Engine'!J6/1000,"$#,##0K")</f>
        <v>$297K</v>
      </c>
      <c r="D16" s="160">
        <f>'⚙️ NOI Engine'!J6/1000*(1+'📋 Assumptions'!C7)</f>
        <v>321.20820000000003</v>
      </c>
      <c r="E16" s="160">
        <f>D16*(1+'📋 Assumptions'!C7)</f>
        <v>346.90485600000005</v>
      </c>
      <c r="F16" s="160">
        <f>E16*(1+'📋 Assumptions'!C7)</f>
        <v>374.65724448000009</v>
      </c>
      <c r="G16" s="160">
        <f>F16*(1+'📋 Assumptions'!C7)</f>
        <v>404.6298240384001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21.75" customHeight="1" x14ac:dyDescent="0.35">
      <c r="A17" s="1"/>
      <c r="B17" s="8" t="s">
        <v>281</v>
      </c>
      <c r="C17" s="164" t="s">
        <v>282</v>
      </c>
      <c r="D17" s="165" t="s">
        <v>283</v>
      </c>
      <c r="E17" s="165" t="s">
        <v>284</v>
      </c>
      <c r="F17" s="165" t="s">
        <v>285</v>
      </c>
      <c r="G17" s="165" t="s">
        <v>286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1.75" customHeight="1" x14ac:dyDescent="0.35">
      <c r="A18" s="1"/>
      <c r="B18" s="6" t="s">
        <v>287</v>
      </c>
      <c r="C18" s="166" t="s">
        <v>288</v>
      </c>
      <c r="D18" s="167" t="s">
        <v>289</v>
      </c>
      <c r="E18" s="167" t="s">
        <v>290</v>
      </c>
      <c r="F18" s="167" t="s">
        <v>291</v>
      </c>
      <c r="G18" s="167" t="s">
        <v>292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1.75" customHeight="1" x14ac:dyDescent="0.35">
      <c r="A19" s="1"/>
      <c r="B19" s="8" t="s">
        <v>293</v>
      </c>
      <c r="C19" s="162" t="s">
        <v>294</v>
      </c>
      <c r="D19" s="168" t="s">
        <v>295</v>
      </c>
      <c r="E19" s="168" t="s">
        <v>296</v>
      </c>
      <c r="F19" s="168" t="s">
        <v>297</v>
      </c>
      <c r="G19" s="168" t="s">
        <v>298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21.75" customHeight="1" x14ac:dyDescent="0.35">
      <c r="A20" s="1"/>
      <c r="B20" s="6" t="s">
        <v>4</v>
      </c>
      <c r="C20" s="169" t="str">
        <f>TEXT('⚙️ NOI Engine'!J18/1000,"$#,##0K")</f>
        <v>$180K</v>
      </c>
      <c r="D20" s="160">
        <f>'⚙️ NOI Engine'!J18/1000*(1+'📋 Assumptions'!C7)</f>
        <v>194.66956800000003</v>
      </c>
      <c r="E20" s="160">
        <f>D20*(1+'📋 Assumptions'!C7)</f>
        <v>210.24313344000004</v>
      </c>
      <c r="F20" s="160">
        <f>E20*(1+'📋 Assumptions'!C7)</f>
        <v>227.06258411520005</v>
      </c>
      <c r="G20" s="160">
        <f>F20*(1+'📋 Assumptions'!C7)</f>
        <v>245.22759084441608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21.75" customHeight="1" x14ac:dyDescent="0.35">
      <c r="A21" s="1"/>
      <c r="B21" s="8" t="s">
        <v>299</v>
      </c>
      <c r="C21" s="170" t="str">
        <f>TEXT('⚙️ NOI Engine'!J20/1000,"$#,##0K")</f>
        <v>$28K</v>
      </c>
      <c r="D21" s="171">
        <f>D20-F10/1000</f>
        <v>42.973242361688762</v>
      </c>
      <c r="E21" s="171">
        <f>E20-F10/1000</f>
        <v>58.546807801688772</v>
      </c>
      <c r="F21" s="171">
        <f>F20-F10/1000</f>
        <v>75.366258476888788</v>
      </c>
      <c r="G21" s="171">
        <f>G20-F10/1000</f>
        <v>93.53126520610482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21.75" customHeight="1" x14ac:dyDescent="0.35">
      <c r="A22" s="1"/>
      <c r="B22" s="6" t="s">
        <v>5</v>
      </c>
      <c r="C22" s="172">
        <f>IFERROR('⚙️ NOI Engine'!J18/ABS('⚙️ NOI Engine'!J19),0)</f>
        <v>1.1858214257519539</v>
      </c>
      <c r="D22" s="173">
        <f>IFERROR(D20/(F10/1000),0)</f>
        <v>1.283284662175336</v>
      </c>
      <c r="E22" s="173">
        <f>IFERROR(E20/(F10/1000),0)</f>
        <v>1.3859474351493628</v>
      </c>
      <c r="F22" s="173">
        <f>IFERROR(F20/(F10/1000),0)</f>
        <v>1.496823229961312</v>
      </c>
      <c r="G22" s="173">
        <f>IFERROR(G20/(F10/1000),0)</f>
        <v>1.6165690883582171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21.75" customHeight="1" x14ac:dyDescent="0.35">
      <c r="A23" s="1"/>
      <c r="B23" s="8" t="s">
        <v>300</v>
      </c>
      <c r="C23" s="174">
        <f>'🏢 Property Metrics'!D12</f>
        <v>0.96084337349397586</v>
      </c>
      <c r="D23" s="175">
        <f>MIN(C23+0.008,1)</f>
        <v>0.96884337349397587</v>
      </c>
      <c r="E23" s="175">
        <f>MIN(D23+0.005,1)</f>
        <v>0.97384337349397587</v>
      </c>
      <c r="F23" s="175">
        <f>MIN(E23+0.005,1)</f>
        <v>0.97884337349397588</v>
      </c>
      <c r="G23" s="175">
        <f>MIN(F23+0.005,1)</f>
        <v>0.98384337349397588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4.2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4.2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4.2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4.2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4.2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4.2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4.2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4.2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4.2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4.2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4.2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4.2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4.2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4.2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4.2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4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4.2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4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4.2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4.2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4.2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4.2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4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.2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.2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.2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.2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.2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4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4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4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4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</sheetData>
  <mergeCells count="8">
    <mergeCell ref="B13:I13"/>
    <mergeCell ref="B9:E9"/>
    <mergeCell ref="A2:I2"/>
    <mergeCell ref="B8:E8"/>
    <mergeCell ref="B6:E6"/>
    <mergeCell ref="B7:E7"/>
    <mergeCell ref="B10:E10"/>
    <mergeCell ref="B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F4444"/>
  </sheetPr>
  <dimension ref="A1:K75"/>
  <sheetViews>
    <sheetView showGridLines="0" zoomScaleNormal="100" workbookViewId="0">
      <selection activeCell="B48" sqref="B48"/>
    </sheetView>
  </sheetViews>
  <sheetFormatPr defaultColWidth="8.6328125" defaultRowHeight="14.5" x14ac:dyDescent="0.35"/>
  <cols>
    <col min="1" max="1" width="25.453125" customWidth="1"/>
    <col min="2" max="11" width="33" customWidth="1"/>
  </cols>
  <sheetData>
    <row r="1" spans="1:11" ht="7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9.75" customHeight="1" x14ac:dyDescent="0.35">
      <c r="A2" s="401"/>
      <c r="B2" s="304"/>
      <c r="C2" s="304"/>
      <c r="D2" s="304"/>
      <c r="E2" s="304"/>
      <c r="F2" s="304"/>
      <c r="G2" s="304"/>
      <c r="H2" s="304"/>
      <c r="I2" s="304"/>
      <c r="J2" s="304"/>
      <c r="K2" s="304"/>
    </row>
    <row r="3" spans="1:11" ht="14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4.25" customHeight="1" x14ac:dyDescent="0.35">
      <c r="A4" s="1"/>
      <c r="B4" s="317" t="s">
        <v>301</v>
      </c>
      <c r="C4" s="304"/>
      <c r="D4" s="304"/>
      <c r="E4" s="304"/>
      <c r="F4" s="304"/>
      <c r="G4" s="304"/>
      <c r="H4" s="304"/>
      <c r="I4" s="304"/>
      <c r="J4" s="304"/>
      <c r="K4" s="304"/>
    </row>
    <row r="5" spans="1:11" ht="14.25" customHeigh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75" customHeight="1" x14ac:dyDescent="0.35">
      <c r="A6" s="1"/>
      <c r="B6" s="315" t="s">
        <v>302</v>
      </c>
      <c r="C6" s="304"/>
      <c r="D6" s="304"/>
      <c r="E6" s="304"/>
      <c r="F6" s="176">
        <f>'📋 Assumptions'!C23</f>
        <v>2000000</v>
      </c>
      <c r="G6" s="1"/>
      <c r="H6" s="1"/>
      <c r="I6" s="1"/>
      <c r="J6" s="1"/>
      <c r="K6" s="1"/>
    </row>
    <row r="7" spans="1:11" ht="21.75" customHeight="1" x14ac:dyDescent="0.35">
      <c r="A7" s="1"/>
      <c r="B7" s="315" t="s">
        <v>303</v>
      </c>
      <c r="C7" s="304"/>
      <c r="D7" s="304"/>
      <c r="E7" s="304"/>
      <c r="F7" s="177">
        <f>'📋 Assumptions'!C24</f>
        <v>6.5000000000000002E-2</v>
      </c>
      <c r="G7" s="1"/>
      <c r="H7" s="1"/>
      <c r="I7" s="1"/>
      <c r="J7" s="1"/>
      <c r="K7" s="1"/>
    </row>
    <row r="8" spans="1:11" ht="21.75" customHeight="1" x14ac:dyDescent="0.35">
      <c r="A8" s="1"/>
      <c r="B8" s="315" t="s">
        <v>304</v>
      </c>
      <c r="C8" s="304"/>
      <c r="D8" s="304"/>
      <c r="E8" s="304"/>
      <c r="F8" s="178">
        <f>'📋 Assumptions'!C25</f>
        <v>30</v>
      </c>
      <c r="G8" s="1"/>
      <c r="H8" s="1"/>
      <c r="I8" s="1"/>
      <c r="J8" s="1"/>
      <c r="K8" s="1"/>
    </row>
    <row r="9" spans="1:11" ht="21.75" customHeight="1" x14ac:dyDescent="0.35">
      <c r="A9" s="1"/>
      <c r="B9" s="315" t="s">
        <v>305</v>
      </c>
      <c r="C9" s="304"/>
      <c r="D9" s="304"/>
      <c r="E9" s="304"/>
      <c r="F9" s="179">
        <v>45292</v>
      </c>
      <c r="G9" s="1"/>
      <c r="H9" s="1"/>
      <c r="I9" s="1"/>
      <c r="J9" s="1"/>
      <c r="K9" s="1"/>
    </row>
    <row r="10" spans="1:11" ht="14.2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5" customHeight="1" x14ac:dyDescent="0.35">
      <c r="A11" s="1"/>
      <c r="B11" s="307" t="s">
        <v>306</v>
      </c>
      <c r="C11" s="304"/>
      <c r="D11" s="304"/>
      <c r="E11" s="304"/>
      <c r="F11" s="180">
        <f>PMT(F7/12,F8*12,-F6)</f>
        <v>12641.360469859274</v>
      </c>
      <c r="G11" s="1"/>
      <c r="H11" s="1"/>
      <c r="I11" s="1"/>
      <c r="J11" s="1"/>
      <c r="K11" s="1"/>
    </row>
    <row r="12" spans="1:11" ht="15" customHeight="1" x14ac:dyDescent="0.35">
      <c r="A12" s="1"/>
      <c r="B12" s="307" t="s">
        <v>307</v>
      </c>
      <c r="C12" s="304"/>
      <c r="D12" s="304"/>
      <c r="E12" s="304"/>
      <c r="F12" s="181">
        <f>F11*F8*12-F6</f>
        <v>2550889.7691493388</v>
      </c>
      <c r="G12" s="1"/>
      <c r="H12" s="1"/>
      <c r="I12" s="1"/>
      <c r="J12" s="1"/>
      <c r="K12" s="1"/>
    </row>
    <row r="13" spans="1:11" ht="14.2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4.2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1.75" customHeight="1" x14ac:dyDescent="0.35">
      <c r="A15" s="1"/>
      <c r="B15" s="182" t="s">
        <v>308</v>
      </c>
      <c r="C15" s="182" t="s">
        <v>309</v>
      </c>
      <c r="D15" s="182" t="s">
        <v>310</v>
      </c>
      <c r="E15" s="182" t="s">
        <v>311</v>
      </c>
      <c r="F15" s="182" t="s">
        <v>312</v>
      </c>
      <c r="G15" s="182" t="s">
        <v>313</v>
      </c>
      <c r="H15" s="1"/>
      <c r="I15" s="1"/>
      <c r="J15" s="1"/>
      <c r="K15" s="1"/>
    </row>
    <row r="16" spans="1:11" ht="18" customHeight="1" x14ac:dyDescent="0.35">
      <c r="A16" s="1"/>
      <c r="B16" s="183">
        <v>1</v>
      </c>
      <c r="C16" s="184">
        <f t="shared" ref="C16:C47" si="0">EDATE($F$9,B16-1)</f>
        <v>45292</v>
      </c>
      <c r="D16" s="185">
        <f t="shared" ref="D16:D47" si="1">$F$11</f>
        <v>12641.360469859274</v>
      </c>
      <c r="E16" s="186">
        <f t="shared" ref="E16:E47" si="2">D16-F16</f>
        <v>1808.0271365259396</v>
      </c>
      <c r="F16" s="187">
        <f>F6*($F$7/12)</f>
        <v>10833.333333333334</v>
      </c>
      <c r="G16" s="188">
        <f>F6-E16</f>
        <v>1998191.9728634742</v>
      </c>
      <c r="H16" s="1"/>
      <c r="I16" s="1"/>
      <c r="J16" s="1"/>
      <c r="K16" s="1"/>
    </row>
    <row r="17" spans="1:11" ht="18" customHeight="1" x14ac:dyDescent="0.35">
      <c r="A17" s="1"/>
      <c r="B17" s="189">
        <v>2</v>
      </c>
      <c r="C17" s="190">
        <f t="shared" si="0"/>
        <v>45323</v>
      </c>
      <c r="D17" s="191">
        <f t="shared" si="1"/>
        <v>12641.360469859274</v>
      </c>
      <c r="E17" s="192">
        <f t="shared" si="2"/>
        <v>1817.8206168487886</v>
      </c>
      <c r="F17" s="193">
        <f t="shared" ref="F17:F48" si="3">G16*($F$7/12)</f>
        <v>10823.539853010485</v>
      </c>
      <c r="G17" s="194">
        <f t="shared" ref="G17:G48" si="4">G16-E17</f>
        <v>1996374.1522466254</v>
      </c>
      <c r="H17" s="1"/>
      <c r="I17" s="1"/>
      <c r="J17" s="1"/>
      <c r="K17" s="1"/>
    </row>
    <row r="18" spans="1:11" ht="18" customHeight="1" x14ac:dyDescent="0.35">
      <c r="A18" s="1"/>
      <c r="B18" s="183">
        <v>3</v>
      </c>
      <c r="C18" s="184">
        <f t="shared" si="0"/>
        <v>45352</v>
      </c>
      <c r="D18" s="185">
        <f t="shared" si="1"/>
        <v>12641.360469859274</v>
      </c>
      <c r="E18" s="186">
        <f t="shared" si="2"/>
        <v>1827.6671451900529</v>
      </c>
      <c r="F18" s="187">
        <f t="shared" si="3"/>
        <v>10813.693324669221</v>
      </c>
      <c r="G18" s="188">
        <f t="shared" si="4"/>
        <v>1994546.4851014353</v>
      </c>
      <c r="H18" s="1"/>
      <c r="I18" s="1"/>
      <c r="J18" s="1"/>
      <c r="K18" s="1"/>
    </row>
    <row r="19" spans="1:11" ht="18" customHeight="1" x14ac:dyDescent="0.35">
      <c r="A19" s="1"/>
      <c r="B19" s="189">
        <v>4</v>
      </c>
      <c r="C19" s="190">
        <f t="shared" si="0"/>
        <v>45383</v>
      </c>
      <c r="D19" s="191">
        <f t="shared" si="1"/>
        <v>12641.360469859274</v>
      </c>
      <c r="E19" s="192">
        <f t="shared" si="2"/>
        <v>1837.5670088931656</v>
      </c>
      <c r="F19" s="193">
        <f t="shared" si="3"/>
        <v>10803.793460966108</v>
      </c>
      <c r="G19" s="194">
        <f t="shared" si="4"/>
        <v>1992708.9180925421</v>
      </c>
      <c r="H19" s="1"/>
      <c r="I19" s="1"/>
      <c r="J19" s="1"/>
      <c r="K19" s="1"/>
    </row>
    <row r="20" spans="1:11" ht="18" customHeight="1" x14ac:dyDescent="0.35">
      <c r="A20" s="1"/>
      <c r="B20" s="183">
        <v>5</v>
      </c>
      <c r="C20" s="184">
        <f t="shared" si="0"/>
        <v>45413</v>
      </c>
      <c r="D20" s="185">
        <f t="shared" si="1"/>
        <v>12641.360469859274</v>
      </c>
      <c r="E20" s="186">
        <f t="shared" si="2"/>
        <v>1847.5204968580038</v>
      </c>
      <c r="F20" s="187">
        <f t="shared" si="3"/>
        <v>10793.83997300127</v>
      </c>
      <c r="G20" s="188">
        <f t="shared" si="4"/>
        <v>1990861.397595684</v>
      </c>
      <c r="H20" s="1"/>
      <c r="I20" s="1"/>
      <c r="J20" s="1"/>
      <c r="K20" s="1"/>
    </row>
    <row r="21" spans="1:11" ht="18" customHeight="1" x14ac:dyDescent="0.35">
      <c r="A21" s="1"/>
      <c r="B21" s="189">
        <v>6</v>
      </c>
      <c r="C21" s="190">
        <f t="shared" si="0"/>
        <v>45444</v>
      </c>
      <c r="D21" s="191">
        <f t="shared" si="1"/>
        <v>12641.360469859274</v>
      </c>
      <c r="E21" s="192">
        <f t="shared" si="2"/>
        <v>1857.5278995493172</v>
      </c>
      <c r="F21" s="193">
        <f t="shared" si="3"/>
        <v>10783.832570309956</v>
      </c>
      <c r="G21" s="194">
        <f t="shared" si="4"/>
        <v>1989003.8696961347</v>
      </c>
      <c r="H21" s="1"/>
      <c r="I21" s="1"/>
      <c r="J21" s="1"/>
      <c r="K21" s="1"/>
    </row>
    <row r="22" spans="1:11" ht="18" customHeight="1" x14ac:dyDescent="0.35">
      <c r="A22" s="1"/>
      <c r="B22" s="183">
        <v>7</v>
      </c>
      <c r="C22" s="184">
        <f t="shared" si="0"/>
        <v>45474</v>
      </c>
      <c r="D22" s="185">
        <f t="shared" si="1"/>
        <v>12641.360469859274</v>
      </c>
      <c r="E22" s="186">
        <f t="shared" si="2"/>
        <v>1867.5895090052109</v>
      </c>
      <c r="F22" s="187">
        <f t="shared" si="3"/>
        <v>10773.770960854063</v>
      </c>
      <c r="G22" s="188">
        <f t="shared" si="4"/>
        <v>1987136.2801871295</v>
      </c>
      <c r="H22" s="1"/>
      <c r="I22" s="1"/>
      <c r="J22" s="1"/>
      <c r="K22" s="1"/>
    </row>
    <row r="23" spans="1:11" ht="18" customHeight="1" x14ac:dyDescent="0.35">
      <c r="A23" s="1"/>
      <c r="B23" s="189">
        <v>8</v>
      </c>
      <c r="C23" s="190">
        <f t="shared" si="0"/>
        <v>45505</v>
      </c>
      <c r="D23" s="191">
        <f t="shared" si="1"/>
        <v>12641.360469859274</v>
      </c>
      <c r="E23" s="192">
        <f t="shared" si="2"/>
        <v>1877.7056188456554</v>
      </c>
      <c r="F23" s="193">
        <f t="shared" si="3"/>
        <v>10763.654851013618</v>
      </c>
      <c r="G23" s="194">
        <f t="shared" si="4"/>
        <v>1985258.5745682837</v>
      </c>
      <c r="H23" s="1"/>
      <c r="I23" s="1"/>
      <c r="J23" s="1"/>
      <c r="K23" s="1"/>
    </row>
    <row r="24" spans="1:11" ht="18" customHeight="1" x14ac:dyDescent="0.35">
      <c r="A24" s="1"/>
      <c r="B24" s="183">
        <v>9</v>
      </c>
      <c r="C24" s="184">
        <f t="shared" si="0"/>
        <v>45536</v>
      </c>
      <c r="D24" s="185">
        <f t="shared" si="1"/>
        <v>12641.360469859274</v>
      </c>
      <c r="E24" s="186">
        <f t="shared" si="2"/>
        <v>1887.8765242810696</v>
      </c>
      <c r="F24" s="187">
        <f t="shared" si="3"/>
        <v>10753.483945578204</v>
      </c>
      <c r="G24" s="188">
        <f t="shared" si="4"/>
        <v>1983370.6980440028</v>
      </c>
      <c r="H24" s="1"/>
      <c r="I24" s="1"/>
      <c r="J24" s="1"/>
      <c r="K24" s="1"/>
    </row>
    <row r="25" spans="1:11" ht="18" customHeight="1" x14ac:dyDescent="0.35">
      <c r="A25" s="1"/>
      <c r="B25" s="189">
        <v>10</v>
      </c>
      <c r="C25" s="190">
        <f t="shared" si="0"/>
        <v>45566</v>
      </c>
      <c r="D25" s="191">
        <f t="shared" si="1"/>
        <v>12641.360469859274</v>
      </c>
      <c r="E25" s="192">
        <f t="shared" si="2"/>
        <v>1898.1025221209256</v>
      </c>
      <c r="F25" s="193">
        <f t="shared" si="3"/>
        <v>10743.257947738348</v>
      </c>
      <c r="G25" s="194">
        <f t="shared" si="4"/>
        <v>1981472.5955218819</v>
      </c>
      <c r="H25" s="1"/>
      <c r="I25" s="1"/>
      <c r="J25" s="1"/>
      <c r="K25" s="1"/>
    </row>
    <row r="26" spans="1:11" ht="18" customHeight="1" x14ac:dyDescent="0.35">
      <c r="A26" s="1"/>
      <c r="B26" s="183">
        <v>11</v>
      </c>
      <c r="C26" s="184">
        <f t="shared" si="0"/>
        <v>45597</v>
      </c>
      <c r="D26" s="185">
        <f t="shared" si="1"/>
        <v>12641.360469859274</v>
      </c>
      <c r="E26" s="186">
        <f t="shared" si="2"/>
        <v>1908.3839107824133</v>
      </c>
      <c r="F26" s="187">
        <f t="shared" si="3"/>
        <v>10732.97655907686</v>
      </c>
      <c r="G26" s="188">
        <f t="shared" si="4"/>
        <v>1979564.2116110995</v>
      </c>
      <c r="H26" s="1"/>
      <c r="I26" s="1"/>
      <c r="J26" s="1"/>
      <c r="K26" s="1"/>
    </row>
    <row r="27" spans="1:11" ht="18" customHeight="1" x14ac:dyDescent="0.35">
      <c r="A27" s="1"/>
      <c r="B27" s="189">
        <v>12</v>
      </c>
      <c r="C27" s="190">
        <f t="shared" si="0"/>
        <v>45627</v>
      </c>
      <c r="D27" s="191">
        <f t="shared" si="1"/>
        <v>12641.360469859274</v>
      </c>
      <c r="E27" s="192">
        <f t="shared" si="2"/>
        <v>1918.7209902991508</v>
      </c>
      <c r="F27" s="193">
        <f t="shared" si="3"/>
        <v>10722.639479560123</v>
      </c>
      <c r="G27" s="194">
        <f t="shared" si="4"/>
        <v>1977645.4906208003</v>
      </c>
      <c r="H27" s="1"/>
      <c r="I27" s="1"/>
      <c r="J27" s="1"/>
      <c r="K27" s="1"/>
    </row>
    <row r="28" spans="1:11" ht="18" customHeight="1" x14ac:dyDescent="0.35">
      <c r="A28" s="1"/>
      <c r="B28" s="183">
        <v>13</v>
      </c>
      <c r="C28" s="184">
        <f t="shared" si="0"/>
        <v>45658</v>
      </c>
      <c r="D28" s="185">
        <f t="shared" si="1"/>
        <v>12641.360469859274</v>
      </c>
      <c r="E28" s="186">
        <f t="shared" si="2"/>
        <v>1929.114062329938</v>
      </c>
      <c r="F28" s="187">
        <f t="shared" si="3"/>
        <v>10712.246407529336</v>
      </c>
      <c r="G28" s="188">
        <f t="shared" si="4"/>
        <v>1975716.3765584703</v>
      </c>
      <c r="H28" s="1"/>
      <c r="I28" s="1"/>
      <c r="J28" s="1"/>
      <c r="K28" s="1"/>
    </row>
    <row r="29" spans="1:11" ht="18" customHeight="1" x14ac:dyDescent="0.35">
      <c r="A29" s="1"/>
      <c r="B29" s="189">
        <v>14</v>
      </c>
      <c r="C29" s="190">
        <f t="shared" si="0"/>
        <v>45689</v>
      </c>
      <c r="D29" s="191">
        <f t="shared" si="1"/>
        <v>12641.360469859274</v>
      </c>
      <c r="E29" s="192">
        <f t="shared" si="2"/>
        <v>1939.5634301675582</v>
      </c>
      <c r="F29" s="193">
        <f t="shared" si="3"/>
        <v>10701.797039691715</v>
      </c>
      <c r="G29" s="194">
        <f t="shared" si="4"/>
        <v>1973776.8131283028</v>
      </c>
      <c r="H29" s="1"/>
      <c r="I29" s="1"/>
      <c r="J29" s="1"/>
      <c r="K29" s="1"/>
    </row>
    <row r="30" spans="1:11" ht="18" customHeight="1" x14ac:dyDescent="0.35">
      <c r="A30" s="1"/>
      <c r="B30" s="183">
        <v>15</v>
      </c>
      <c r="C30" s="184">
        <f t="shared" si="0"/>
        <v>45717</v>
      </c>
      <c r="D30" s="185">
        <f t="shared" si="1"/>
        <v>12641.360469859274</v>
      </c>
      <c r="E30" s="186">
        <f t="shared" si="2"/>
        <v>1950.0693987476334</v>
      </c>
      <c r="F30" s="187">
        <f t="shared" si="3"/>
        <v>10691.29107111164</v>
      </c>
      <c r="G30" s="188">
        <f t="shared" si="4"/>
        <v>1971826.7437295553</v>
      </c>
      <c r="H30" s="1"/>
      <c r="I30" s="1"/>
      <c r="J30" s="1"/>
      <c r="K30" s="1"/>
    </row>
    <row r="31" spans="1:11" ht="18" customHeight="1" x14ac:dyDescent="0.35">
      <c r="A31" s="1"/>
      <c r="B31" s="189">
        <v>16</v>
      </c>
      <c r="C31" s="190">
        <f t="shared" si="0"/>
        <v>45748</v>
      </c>
      <c r="D31" s="191">
        <f t="shared" si="1"/>
        <v>12641.360469859274</v>
      </c>
      <c r="E31" s="192">
        <f t="shared" si="2"/>
        <v>1960.6322746575152</v>
      </c>
      <c r="F31" s="193">
        <f t="shared" si="3"/>
        <v>10680.728195201758</v>
      </c>
      <c r="G31" s="194">
        <f t="shared" si="4"/>
        <v>1969866.1114548978</v>
      </c>
      <c r="H31" s="1"/>
      <c r="I31" s="1"/>
      <c r="J31" s="1"/>
      <c r="K31" s="1"/>
    </row>
    <row r="32" spans="1:11" ht="18" customHeight="1" x14ac:dyDescent="0.35">
      <c r="A32" s="1"/>
      <c r="B32" s="183">
        <v>17</v>
      </c>
      <c r="C32" s="184">
        <f t="shared" si="0"/>
        <v>45778</v>
      </c>
      <c r="D32" s="185">
        <f t="shared" si="1"/>
        <v>12641.360469859274</v>
      </c>
      <c r="E32" s="186">
        <f t="shared" si="2"/>
        <v>1971.2523661452433</v>
      </c>
      <c r="F32" s="187">
        <f t="shared" si="3"/>
        <v>10670.10810371403</v>
      </c>
      <c r="G32" s="188">
        <f t="shared" si="4"/>
        <v>1967894.8590887527</v>
      </c>
      <c r="H32" s="1"/>
      <c r="I32" s="1"/>
      <c r="J32" s="1"/>
      <c r="K32" s="1"/>
    </row>
    <row r="33" spans="1:11" ht="18" customHeight="1" x14ac:dyDescent="0.35">
      <c r="A33" s="1"/>
      <c r="B33" s="189">
        <v>18</v>
      </c>
      <c r="C33" s="190">
        <f t="shared" si="0"/>
        <v>45809</v>
      </c>
      <c r="D33" s="191">
        <f t="shared" si="1"/>
        <v>12641.360469859274</v>
      </c>
      <c r="E33" s="192">
        <f t="shared" si="2"/>
        <v>1981.9299831285298</v>
      </c>
      <c r="F33" s="193">
        <f t="shared" si="3"/>
        <v>10659.430486730744</v>
      </c>
      <c r="G33" s="194">
        <f t="shared" si="4"/>
        <v>1965912.9291056241</v>
      </c>
      <c r="H33" s="1"/>
      <c r="I33" s="1"/>
      <c r="J33" s="1"/>
      <c r="K33" s="1"/>
    </row>
    <row r="34" spans="1:11" ht="18" customHeight="1" x14ac:dyDescent="0.35">
      <c r="A34" s="1"/>
      <c r="B34" s="183">
        <v>19</v>
      </c>
      <c r="C34" s="184">
        <f t="shared" si="0"/>
        <v>45839</v>
      </c>
      <c r="D34" s="185">
        <f t="shared" si="1"/>
        <v>12641.360469859274</v>
      </c>
      <c r="E34" s="186">
        <f t="shared" si="2"/>
        <v>1992.6654372038101</v>
      </c>
      <c r="F34" s="187">
        <f t="shared" si="3"/>
        <v>10648.695032655463</v>
      </c>
      <c r="G34" s="188">
        <f t="shared" si="4"/>
        <v>1963920.2636684203</v>
      </c>
      <c r="H34" s="1"/>
      <c r="I34" s="1"/>
      <c r="J34" s="1"/>
      <c r="K34" s="1"/>
    </row>
    <row r="35" spans="1:11" ht="18" customHeight="1" x14ac:dyDescent="0.35">
      <c r="A35" s="1"/>
      <c r="B35" s="189">
        <v>20</v>
      </c>
      <c r="C35" s="190">
        <f t="shared" si="0"/>
        <v>45870</v>
      </c>
      <c r="D35" s="191">
        <f t="shared" si="1"/>
        <v>12641.360469859274</v>
      </c>
      <c r="E35" s="192">
        <f t="shared" si="2"/>
        <v>2003.4590416553292</v>
      </c>
      <c r="F35" s="193">
        <f t="shared" si="3"/>
        <v>10637.901428203944</v>
      </c>
      <c r="G35" s="194">
        <f t="shared" si="4"/>
        <v>1961916.804626765</v>
      </c>
      <c r="H35" s="1"/>
      <c r="I35" s="1"/>
      <c r="J35" s="1"/>
      <c r="K35" s="1"/>
    </row>
    <row r="36" spans="1:11" ht="18" customHeight="1" x14ac:dyDescent="0.35">
      <c r="A36" s="1"/>
      <c r="B36" s="183">
        <v>21</v>
      </c>
      <c r="C36" s="184">
        <f t="shared" si="0"/>
        <v>45901</v>
      </c>
      <c r="D36" s="185">
        <f t="shared" si="1"/>
        <v>12641.360469859274</v>
      </c>
      <c r="E36" s="186">
        <f t="shared" si="2"/>
        <v>2014.3111114642961</v>
      </c>
      <c r="F36" s="187">
        <f t="shared" si="3"/>
        <v>10627.049358394977</v>
      </c>
      <c r="G36" s="188">
        <f t="shared" si="4"/>
        <v>1959902.4935153006</v>
      </c>
      <c r="H36" s="1"/>
      <c r="I36" s="1"/>
      <c r="J36" s="1"/>
      <c r="K36" s="1"/>
    </row>
    <row r="37" spans="1:11" ht="18" customHeight="1" x14ac:dyDescent="0.35">
      <c r="A37" s="1"/>
      <c r="B37" s="189">
        <v>22</v>
      </c>
      <c r="C37" s="190">
        <f t="shared" si="0"/>
        <v>45931</v>
      </c>
      <c r="D37" s="191">
        <f t="shared" si="1"/>
        <v>12641.360469859274</v>
      </c>
      <c r="E37" s="192">
        <f t="shared" si="2"/>
        <v>2025.2219633180612</v>
      </c>
      <c r="F37" s="193">
        <f t="shared" si="3"/>
        <v>10616.138506541212</v>
      </c>
      <c r="G37" s="194">
        <f t="shared" si="4"/>
        <v>1957877.2715519825</v>
      </c>
      <c r="H37" s="1"/>
      <c r="I37" s="1"/>
      <c r="J37" s="1"/>
      <c r="K37" s="1"/>
    </row>
    <row r="38" spans="1:11" ht="18" customHeight="1" x14ac:dyDescent="0.35">
      <c r="A38" s="1"/>
      <c r="B38" s="183">
        <v>23</v>
      </c>
      <c r="C38" s="184">
        <f t="shared" si="0"/>
        <v>45962</v>
      </c>
      <c r="D38" s="185">
        <f t="shared" si="1"/>
        <v>12641.360469859274</v>
      </c>
      <c r="E38" s="186">
        <f t="shared" si="2"/>
        <v>2036.1919156193671</v>
      </c>
      <c r="F38" s="187">
        <f t="shared" si="3"/>
        <v>10605.168554239906</v>
      </c>
      <c r="G38" s="188">
        <f t="shared" si="4"/>
        <v>1955841.0796363631</v>
      </c>
      <c r="H38" s="1"/>
      <c r="I38" s="1"/>
      <c r="J38" s="1"/>
      <c r="K38" s="1"/>
    </row>
    <row r="39" spans="1:11" ht="18" customHeight="1" x14ac:dyDescent="0.35">
      <c r="A39" s="1"/>
      <c r="B39" s="189">
        <v>24</v>
      </c>
      <c r="C39" s="190">
        <f t="shared" si="0"/>
        <v>45992</v>
      </c>
      <c r="D39" s="191">
        <f t="shared" si="1"/>
        <v>12641.360469859274</v>
      </c>
      <c r="E39" s="192">
        <f t="shared" si="2"/>
        <v>2047.2212884956407</v>
      </c>
      <c r="F39" s="193">
        <f t="shared" si="3"/>
        <v>10594.139181363633</v>
      </c>
      <c r="G39" s="194">
        <f t="shared" si="4"/>
        <v>1953793.8583478674</v>
      </c>
      <c r="H39" s="1"/>
      <c r="I39" s="1"/>
      <c r="J39" s="1"/>
      <c r="K39" s="1"/>
    </row>
    <row r="40" spans="1:11" ht="14.25" customHeight="1" x14ac:dyDescent="0.35">
      <c r="A40" s="1"/>
      <c r="B40" s="183">
        <v>25</v>
      </c>
      <c r="C40" s="184">
        <f t="shared" si="0"/>
        <v>46023</v>
      </c>
      <c r="D40" s="185">
        <f t="shared" si="1"/>
        <v>12641.360469859274</v>
      </c>
      <c r="E40" s="186">
        <f t="shared" si="2"/>
        <v>2058.3104038083256</v>
      </c>
      <c r="F40" s="187">
        <f t="shared" si="3"/>
        <v>10583.050066050948</v>
      </c>
      <c r="G40" s="188">
        <f t="shared" si="4"/>
        <v>1951735.5479440591</v>
      </c>
      <c r="H40" s="1"/>
      <c r="I40" s="1"/>
      <c r="J40" s="1"/>
      <c r="K40" s="1"/>
    </row>
    <row r="41" spans="1:11" ht="14.25" customHeight="1" x14ac:dyDescent="0.35">
      <c r="A41" s="1"/>
      <c r="B41" s="189">
        <v>26</v>
      </c>
      <c r="C41" s="190">
        <f t="shared" si="0"/>
        <v>46054</v>
      </c>
      <c r="D41" s="191">
        <f t="shared" si="1"/>
        <v>12641.360469859274</v>
      </c>
      <c r="E41" s="192">
        <f t="shared" si="2"/>
        <v>2069.4595851622853</v>
      </c>
      <c r="F41" s="193">
        <f t="shared" si="3"/>
        <v>10571.900884696988</v>
      </c>
      <c r="G41" s="194">
        <f t="shared" si="4"/>
        <v>1949666.0883588968</v>
      </c>
      <c r="H41" s="1"/>
      <c r="I41" s="1"/>
      <c r="J41" s="1"/>
      <c r="K41" s="1"/>
    </row>
    <row r="42" spans="1:11" ht="14.25" customHeight="1" x14ac:dyDescent="0.35">
      <c r="A42" s="1"/>
      <c r="B42" s="183">
        <v>27</v>
      </c>
      <c r="C42" s="184">
        <f t="shared" si="0"/>
        <v>46082</v>
      </c>
      <c r="D42" s="185">
        <f t="shared" si="1"/>
        <v>12641.360469859274</v>
      </c>
      <c r="E42" s="186">
        <f t="shared" si="2"/>
        <v>2080.6691579152484</v>
      </c>
      <c r="F42" s="187">
        <f t="shared" si="3"/>
        <v>10560.691311944025</v>
      </c>
      <c r="G42" s="188">
        <f t="shared" si="4"/>
        <v>1947585.4192009815</v>
      </c>
      <c r="H42" s="1"/>
      <c r="I42" s="1"/>
      <c r="J42" s="1"/>
      <c r="K42" s="1"/>
    </row>
    <row r="43" spans="1:11" ht="14.25" customHeight="1" x14ac:dyDescent="0.35">
      <c r="A43" s="1"/>
      <c r="B43" s="189">
        <v>28</v>
      </c>
      <c r="C43" s="190">
        <f t="shared" si="0"/>
        <v>46113</v>
      </c>
      <c r="D43" s="191">
        <f t="shared" si="1"/>
        <v>12641.360469859274</v>
      </c>
      <c r="E43" s="192">
        <f t="shared" si="2"/>
        <v>2091.9394491872899</v>
      </c>
      <c r="F43" s="193">
        <f t="shared" si="3"/>
        <v>10549.421020671984</v>
      </c>
      <c r="G43" s="194">
        <f t="shared" si="4"/>
        <v>1945493.4797517941</v>
      </c>
      <c r="H43" s="1"/>
      <c r="I43" s="1"/>
      <c r="J43" s="1"/>
      <c r="K43" s="1"/>
    </row>
    <row r="44" spans="1:11" ht="14.25" customHeight="1" x14ac:dyDescent="0.35">
      <c r="A44" s="1"/>
      <c r="B44" s="183">
        <v>29</v>
      </c>
      <c r="C44" s="184">
        <f t="shared" si="0"/>
        <v>46143</v>
      </c>
      <c r="D44" s="185">
        <f t="shared" si="1"/>
        <v>12641.360469859274</v>
      </c>
      <c r="E44" s="186">
        <f t="shared" si="2"/>
        <v>2103.2707878703877</v>
      </c>
      <c r="F44" s="187">
        <f t="shared" si="3"/>
        <v>10538.089681988886</v>
      </c>
      <c r="G44" s="188">
        <f t="shared" si="4"/>
        <v>1943390.2089639239</v>
      </c>
      <c r="H44" s="1"/>
      <c r="I44" s="1"/>
      <c r="J44" s="1"/>
      <c r="K44" s="1"/>
    </row>
    <row r="45" spans="1:11" ht="14.25" customHeight="1" x14ac:dyDescent="0.35">
      <c r="A45" s="1"/>
      <c r="B45" s="189">
        <v>30</v>
      </c>
      <c r="C45" s="190">
        <f t="shared" si="0"/>
        <v>46174</v>
      </c>
      <c r="D45" s="191">
        <f t="shared" si="1"/>
        <v>12641.360469859274</v>
      </c>
      <c r="E45" s="192">
        <f t="shared" si="2"/>
        <v>2114.6635046380197</v>
      </c>
      <c r="F45" s="193">
        <f t="shared" si="3"/>
        <v>10526.696965221254</v>
      </c>
      <c r="G45" s="194">
        <f t="shared" si="4"/>
        <v>1941275.5454592858</v>
      </c>
      <c r="H45" s="1"/>
      <c r="I45" s="1"/>
      <c r="J45" s="1"/>
      <c r="K45" s="1"/>
    </row>
    <row r="46" spans="1:11" ht="14.25" customHeight="1" x14ac:dyDescent="0.35">
      <c r="A46" s="1"/>
      <c r="B46" s="183">
        <v>31</v>
      </c>
      <c r="C46" s="184">
        <f t="shared" si="0"/>
        <v>46204</v>
      </c>
      <c r="D46" s="185">
        <f t="shared" si="1"/>
        <v>12641.360469859274</v>
      </c>
      <c r="E46" s="186">
        <f t="shared" si="2"/>
        <v>2126.1179319548082</v>
      </c>
      <c r="F46" s="187">
        <f t="shared" si="3"/>
        <v>10515.242537904465</v>
      </c>
      <c r="G46" s="188">
        <f t="shared" si="4"/>
        <v>1939149.427527331</v>
      </c>
      <c r="H46" s="1"/>
      <c r="I46" s="1"/>
      <c r="J46" s="1"/>
      <c r="K46" s="1"/>
    </row>
    <row r="47" spans="1:11" ht="14.25" customHeight="1" x14ac:dyDescent="0.35">
      <c r="A47" s="1"/>
      <c r="B47" s="189">
        <v>32</v>
      </c>
      <c r="C47" s="190">
        <f t="shared" si="0"/>
        <v>46235</v>
      </c>
      <c r="D47" s="191">
        <f t="shared" si="1"/>
        <v>12641.360469859274</v>
      </c>
      <c r="E47" s="192">
        <f t="shared" si="2"/>
        <v>2137.6344040862296</v>
      </c>
      <c r="F47" s="193">
        <f t="shared" si="3"/>
        <v>10503.726065773044</v>
      </c>
      <c r="G47" s="194">
        <f t="shared" si="4"/>
        <v>1937011.7931232448</v>
      </c>
      <c r="H47" s="1"/>
      <c r="I47" s="1"/>
      <c r="J47" s="1"/>
      <c r="K47" s="1"/>
    </row>
    <row r="48" spans="1:11" ht="14.25" customHeight="1" x14ac:dyDescent="0.35">
      <c r="A48" s="1"/>
      <c r="B48" s="183">
        <v>33</v>
      </c>
      <c r="C48" s="184">
        <f t="shared" ref="C48:C79" si="5">EDATE($F$9,B48-1)</f>
        <v>46266</v>
      </c>
      <c r="D48" s="185">
        <f t="shared" ref="D48:D75" si="6">$F$11</f>
        <v>12641.360469859274</v>
      </c>
      <c r="E48" s="186">
        <f t="shared" ref="E48:E79" si="7">D48-F48</f>
        <v>2149.2132571083639</v>
      </c>
      <c r="F48" s="187">
        <f t="shared" si="3"/>
        <v>10492.14721275091</v>
      </c>
      <c r="G48" s="188">
        <f t="shared" si="4"/>
        <v>1934862.5798661364</v>
      </c>
      <c r="H48" s="1"/>
      <c r="I48" s="1"/>
      <c r="J48" s="1"/>
      <c r="K48" s="1"/>
    </row>
    <row r="49" spans="1:11" ht="14.25" customHeight="1" x14ac:dyDescent="0.35">
      <c r="A49" s="1"/>
      <c r="B49" s="189">
        <v>34</v>
      </c>
      <c r="C49" s="190">
        <f t="shared" si="5"/>
        <v>46296</v>
      </c>
      <c r="D49" s="191">
        <f t="shared" si="6"/>
        <v>12641.360469859274</v>
      </c>
      <c r="E49" s="192">
        <f t="shared" si="7"/>
        <v>2160.8548289177015</v>
      </c>
      <c r="F49" s="193">
        <f t="shared" ref="F49:F75" si="8">G48*($F$7/12)</f>
        <v>10480.505640941572</v>
      </c>
      <c r="G49" s="194">
        <f t="shared" ref="G49:G75" si="9">G48-E49</f>
        <v>1932701.7250372188</v>
      </c>
      <c r="H49" s="1"/>
      <c r="I49" s="1"/>
      <c r="J49" s="1"/>
      <c r="K49" s="1"/>
    </row>
    <row r="50" spans="1:11" ht="14.25" customHeight="1" x14ac:dyDescent="0.35">
      <c r="A50" s="1"/>
      <c r="B50" s="183">
        <v>35</v>
      </c>
      <c r="C50" s="184">
        <f t="shared" si="5"/>
        <v>46327</v>
      </c>
      <c r="D50" s="185">
        <f t="shared" si="6"/>
        <v>12641.360469859274</v>
      </c>
      <c r="E50" s="186">
        <f t="shared" si="7"/>
        <v>2172.5594592410052</v>
      </c>
      <c r="F50" s="187">
        <f t="shared" si="8"/>
        <v>10468.801010618268</v>
      </c>
      <c r="G50" s="188">
        <f t="shared" si="9"/>
        <v>1930529.1655779777</v>
      </c>
      <c r="H50" s="1"/>
      <c r="I50" s="1"/>
      <c r="J50" s="1"/>
      <c r="K50" s="1"/>
    </row>
    <row r="51" spans="1:11" ht="14.25" customHeight="1" x14ac:dyDescent="0.35">
      <c r="A51" s="1"/>
      <c r="B51" s="189">
        <v>36</v>
      </c>
      <c r="C51" s="190">
        <f t="shared" si="5"/>
        <v>46357</v>
      </c>
      <c r="D51" s="191">
        <f t="shared" si="6"/>
        <v>12641.360469859274</v>
      </c>
      <c r="E51" s="192">
        <f t="shared" si="7"/>
        <v>2184.3274896452276</v>
      </c>
      <c r="F51" s="193">
        <f t="shared" si="8"/>
        <v>10457.032980214046</v>
      </c>
      <c r="G51" s="194">
        <f t="shared" si="9"/>
        <v>1928344.8380883324</v>
      </c>
      <c r="H51" s="1"/>
      <c r="I51" s="1"/>
      <c r="J51" s="1"/>
      <c r="K51" s="1"/>
    </row>
    <row r="52" spans="1:11" ht="14.25" customHeight="1" x14ac:dyDescent="0.35">
      <c r="A52" s="1"/>
      <c r="B52" s="183">
        <v>37</v>
      </c>
      <c r="C52" s="184">
        <f t="shared" si="5"/>
        <v>46388</v>
      </c>
      <c r="D52" s="185">
        <f t="shared" si="6"/>
        <v>12641.360469859274</v>
      </c>
      <c r="E52" s="186">
        <f t="shared" si="7"/>
        <v>2196.1592635474717</v>
      </c>
      <c r="F52" s="187">
        <f t="shared" si="8"/>
        <v>10445.201206311802</v>
      </c>
      <c r="G52" s="188">
        <f t="shared" si="9"/>
        <v>1926148.6788247849</v>
      </c>
      <c r="H52" s="1"/>
      <c r="I52" s="1"/>
      <c r="J52" s="1"/>
      <c r="K52" s="1"/>
    </row>
    <row r="53" spans="1:11" ht="14.25" customHeight="1" x14ac:dyDescent="0.35">
      <c r="A53" s="1"/>
      <c r="B53" s="189">
        <v>38</v>
      </c>
      <c r="C53" s="190">
        <f t="shared" si="5"/>
        <v>46419</v>
      </c>
      <c r="D53" s="191">
        <f t="shared" si="6"/>
        <v>12641.360469859274</v>
      </c>
      <c r="E53" s="192">
        <f t="shared" si="7"/>
        <v>2208.055126225021</v>
      </c>
      <c r="F53" s="193">
        <f t="shared" si="8"/>
        <v>10433.305343634252</v>
      </c>
      <c r="G53" s="194">
        <f t="shared" si="9"/>
        <v>1923940.6236985598</v>
      </c>
      <c r="H53" s="1"/>
      <c r="I53" s="1"/>
      <c r="J53" s="1"/>
      <c r="K53" s="1"/>
    </row>
    <row r="54" spans="1:11" ht="14.25" customHeight="1" x14ac:dyDescent="0.35">
      <c r="A54" s="1"/>
      <c r="B54" s="183">
        <v>39</v>
      </c>
      <c r="C54" s="184">
        <f t="shared" si="5"/>
        <v>46447</v>
      </c>
      <c r="D54" s="185">
        <f t="shared" si="6"/>
        <v>12641.360469859274</v>
      </c>
      <c r="E54" s="186">
        <f t="shared" si="7"/>
        <v>2220.0154248254075</v>
      </c>
      <c r="F54" s="187">
        <f t="shared" si="8"/>
        <v>10421.345045033866</v>
      </c>
      <c r="G54" s="188">
        <f t="shared" si="9"/>
        <v>1921720.6082737343</v>
      </c>
      <c r="H54" s="1"/>
      <c r="I54" s="1"/>
      <c r="J54" s="1"/>
      <c r="K54" s="1"/>
    </row>
    <row r="55" spans="1:11" ht="14.25" customHeight="1" x14ac:dyDescent="0.35">
      <c r="A55" s="1"/>
      <c r="B55" s="189">
        <v>40</v>
      </c>
      <c r="C55" s="190">
        <f t="shared" si="5"/>
        <v>46478</v>
      </c>
      <c r="D55" s="191">
        <f t="shared" si="6"/>
        <v>12641.360469859274</v>
      </c>
      <c r="E55" s="192">
        <f t="shared" si="7"/>
        <v>2232.0405083765454</v>
      </c>
      <c r="F55" s="193">
        <f t="shared" si="8"/>
        <v>10409.319961482728</v>
      </c>
      <c r="G55" s="194">
        <f t="shared" si="9"/>
        <v>1919488.5677653579</v>
      </c>
      <c r="H55" s="1"/>
      <c r="I55" s="1"/>
      <c r="J55" s="1"/>
      <c r="K55" s="1"/>
    </row>
    <row r="56" spans="1:11" ht="14.25" customHeight="1" x14ac:dyDescent="0.35">
      <c r="A56" s="1"/>
      <c r="B56" s="183">
        <v>41</v>
      </c>
      <c r="C56" s="184">
        <f t="shared" si="5"/>
        <v>46508</v>
      </c>
      <c r="D56" s="185">
        <f t="shared" si="6"/>
        <v>12641.360469859274</v>
      </c>
      <c r="E56" s="186">
        <f t="shared" si="7"/>
        <v>2244.1307277969172</v>
      </c>
      <c r="F56" s="187">
        <f t="shared" si="8"/>
        <v>10397.229742062356</v>
      </c>
      <c r="G56" s="188">
        <f t="shared" si="9"/>
        <v>1917244.4370375611</v>
      </c>
      <c r="H56" s="1"/>
      <c r="I56" s="1"/>
      <c r="J56" s="1"/>
      <c r="K56" s="1"/>
    </row>
    <row r="57" spans="1:11" ht="14.25" customHeight="1" x14ac:dyDescent="0.35">
      <c r="A57" s="1"/>
      <c r="B57" s="189">
        <v>42</v>
      </c>
      <c r="C57" s="190">
        <f t="shared" si="5"/>
        <v>46539</v>
      </c>
      <c r="D57" s="191">
        <f t="shared" si="6"/>
        <v>12641.360469859274</v>
      </c>
      <c r="E57" s="192">
        <f t="shared" si="7"/>
        <v>2256.2864359058167</v>
      </c>
      <c r="F57" s="193">
        <f t="shared" si="8"/>
        <v>10385.074033953457</v>
      </c>
      <c r="G57" s="194">
        <f t="shared" si="9"/>
        <v>1914988.1506016552</v>
      </c>
      <c r="H57" s="1"/>
      <c r="I57" s="1"/>
      <c r="J57" s="1"/>
      <c r="K57" s="1"/>
    </row>
    <row r="58" spans="1:11" ht="14.25" customHeight="1" x14ac:dyDescent="0.35">
      <c r="A58" s="1"/>
      <c r="B58" s="183">
        <v>43</v>
      </c>
      <c r="C58" s="184">
        <f t="shared" si="5"/>
        <v>46569</v>
      </c>
      <c r="D58" s="185">
        <f t="shared" si="6"/>
        <v>12641.360469859274</v>
      </c>
      <c r="E58" s="186">
        <f t="shared" si="7"/>
        <v>2268.5079874336407</v>
      </c>
      <c r="F58" s="187">
        <f t="shared" si="8"/>
        <v>10372.852482425633</v>
      </c>
      <c r="G58" s="188">
        <f t="shared" si="9"/>
        <v>1912719.6426142217</v>
      </c>
      <c r="H58" s="1"/>
      <c r="I58" s="1"/>
      <c r="J58" s="1"/>
      <c r="K58" s="1"/>
    </row>
    <row r="59" spans="1:11" ht="14.25" customHeight="1" x14ac:dyDescent="0.35">
      <c r="A59" s="1"/>
      <c r="B59" s="189">
        <v>44</v>
      </c>
      <c r="C59" s="190">
        <f t="shared" si="5"/>
        <v>46600</v>
      </c>
      <c r="D59" s="191">
        <f t="shared" si="6"/>
        <v>12641.360469859274</v>
      </c>
      <c r="E59" s="192">
        <f t="shared" si="7"/>
        <v>2280.795739032239</v>
      </c>
      <c r="F59" s="193">
        <f t="shared" si="8"/>
        <v>10360.564730827035</v>
      </c>
      <c r="G59" s="194">
        <f t="shared" si="9"/>
        <v>1910438.8468751893</v>
      </c>
      <c r="H59" s="1"/>
      <c r="I59" s="1"/>
      <c r="J59" s="1"/>
      <c r="K59" s="1"/>
    </row>
    <row r="60" spans="1:11" ht="14.25" customHeight="1" x14ac:dyDescent="0.35">
      <c r="A60" s="1"/>
      <c r="B60" s="183">
        <v>45</v>
      </c>
      <c r="C60" s="184">
        <f t="shared" si="5"/>
        <v>46631</v>
      </c>
      <c r="D60" s="185">
        <f t="shared" si="6"/>
        <v>12641.360469859274</v>
      </c>
      <c r="E60" s="186">
        <f t="shared" si="7"/>
        <v>2293.1500492853302</v>
      </c>
      <c r="F60" s="187">
        <f t="shared" si="8"/>
        <v>10348.210420573943</v>
      </c>
      <c r="G60" s="188">
        <f t="shared" si="9"/>
        <v>1908145.6968259041</v>
      </c>
      <c r="H60" s="1"/>
      <c r="I60" s="1"/>
      <c r="J60" s="1"/>
      <c r="K60" s="1"/>
    </row>
    <row r="61" spans="1:11" ht="14.25" customHeight="1" x14ac:dyDescent="0.35">
      <c r="A61" s="1"/>
      <c r="B61" s="189">
        <v>46</v>
      </c>
      <c r="C61" s="190">
        <f t="shared" si="5"/>
        <v>46661</v>
      </c>
      <c r="D61" s="191">
        <f t="shared" si="6"/>
        <v>12641.360469859274</v>
      </c>
      <c r="E61" s="192">
        <f t="shared" si="7"/>
        <v>2305.5712787189586</v>
      </c>
      <c r="F61" s="193">
        <f t="shared" si="8"/>
        <v>10335.789191140315</v>
      </c>
      <c r="G61" s="194">
        <f t="shared" si="9"/>
        <v>1905840.1255471851</v>
      </c>
      <c r="H61" s="1"/>
      <c r="I61" s="1"/>
      <c r="J61" s="1"/>
      <c r="K61" s="1"/>
    </row>
    <row r="62" spans="1:11" ht="14.25" customHeight="1" x14ac:dyDescent="0.35">
      <c r="A62" s="1"/>
      <c r="B62" s="183">
        <v>47</v>
      </c>
      <c r="C62" s="184">
        <f t="shared" si="5"/>
        <v>46692</v>
      </c>
      <c r="D62" s="185">
        <f t="shared" si="6"/>
        <v>12641.360469859274</v>
      </c>
      <c r="E62" s="186">
        <f t="shared" si="7"/>
        <v>2318.0597898120213</v>
      </c>
      <c r="F62" s="187">
        <f t="shared" si="8"/>
        <v>10323.300680047252</v>
      </c>
      <c r="G62" s="188">
        <f t="shared" si="9"/>
        <v>1903522.0657573731</v>
      </c>
      <c r="H62" s="1"/>
      <c r="I62" s="1"/>
      <c r="J62" s="1"/>
      <c r="K62" s="1"/>
    </row>
    <row r="63" spans="1:11" ht="14.25" customHeight="1" x14ac:dyDescent="0.35">
      <c r="A63" s="1"/>
      <c r="B63" s="189">
        <v>48</v>
      </c>
      <c r="C63" s="190">
        <f t="shared" si="5"/>
        <v>46722</v>
      </c>
      <c r="D63" s="191">
        <f t="shared" si="6"/>
        <v>12641.360469859274</v>
      </c>
      <c r="E63" s="192">
        <f t="shared" si="7"/>
        <v>2330.615947006836</v>
      </c>
      <c r="F63" s="193">
        <f t="shared" si="8"/>
        <v>10310.744522852438</v>
      </c>
      <c r="G63" s="194">
        <f t="shared" si="9"/>
        <v>1901191.4498103664</v>
      </c>
      <c r="H63" s="1"/>
      <c r="I63" s="1"/>
      <c r="J63" s="1"/>
      <c r="K63" s="1"/>
    </row>
    <row r="64" spans="1:11" ht="14.25" customHeight="1" x14ac:dyDescent="0.35">
      <c r="A64" s="1"/>
      <c r="B64" s="183">
        <v>49</v>
      </c>
      <c r="C64" s="184">
        <f t="shared" si="5"/>
        <v>46753</v>
      </c>
      <c r="D64" s="185">
        <f t="shared" si="6"/>
        <v>12641.360469859274</v>
      </c>
      <c r="E64" s="186">
        <f t="shared" si="7"/>
        <v>2343.2401167197877</v>
      </c>
      <c r="F64" s="187">
        <f t="shared" si="8"/>
        <v>10298.120353139486</v>
      </c>
      <c r="G64" s="188">
        <f t="shared" si="9"/>
        <v>1898848.2096936465</v>
      </c>
      <c r="H64" s="1"/>
      <c r="I64" s="1"/>
      <c r="J64" s="1"/>
      <c r="K64" s="1"/>
    </row>
    <row r="65" spans="1:11" ht="14.25" customHeight="1" x14ac:dyDescent="0.35">
      <c r="A65" s="1"/>
      <c r="B65" s="189">
        <v>50</v>
      </c>
      <c r="C65" s="190">
        <f t="shared" si="5"/>
        <v>46784</v>
      </c>
      <c r="D65" s="191">
        <f t="shared" si="6"/>
        <v>12641.360469859274</v>
      </c>
      <c r="E65" s="192">
        <f t="shared" si="7"/>
        <v>2355.9326673520209</v>
      </c>
      <c r="F65" s="193">
        <f t="shared" si="8"/>
        <v>10285.427802507253</v>
      </c>
      <c r="G65" s="194">
        <f t="shared" si="9"/>
        <v>1896492.2770262945</v>
      </c>
      <c r="H65" s="1"/>
      <c r="I65" s="1"/>
      <c r="J65" s="1"/>
      <c r="K65" s="1"/>
    </row>
    <row r="66" spans="1:11" ht="14.25" customHeight="1" x14ac:dyDescent="0.35">
      <c r="A66" s="1"/>
      <c r="B66" s="183">
        <v>51</v>
      </c>
      <c r="C66" s="184">
        <f t="shared" si="5"/>
        <v>46813</v>
      </c>
      <c r="D66" s="185">
        <f t="shared" si="6"/>
        <v>12641.360469859274</v>
      </c>
      <c r="E66" s="186">
        <f t="shared" si="7"/>
        <v>2368.6939693001787</v>
      </c>
      <c r="F66" s="187">
        <f t="shared" si="8"/>
        <v>10272.666500559095</v>
      </c>
      <c r="G66" s="188">
        <f t="shared" si="9"/>
        <v>1894123.5830569942</v>
      </c>
      <c r="H66" s="1"/>
      <c r="I66" s="1"/>
      <c r="J66" s="1"/>
      <c r="K66" s="1"/>
    </row>
    <row r="67" spans="1:11" ht="14.25" customHeight="1" x14ac:dyDescent="0.35">
      <c r="A67" s="1"/>
      <c r="B67" s="189">
        <v>52</v>
      </c>
      <c r="C67" s="190">
        <f t="shared" si="5"/>
        <v>46844</v>
      </c>
      <c r="D67" s="191">
        <f t="shared" si="6"/>
        <v>12641.360469859274</v>
      </c>
      <c r="E67" s="192">
        <f t="shared" si="7"/>
        <v>2381.5243949672204</v>
      </c>
      <c r="F67" s="193">
        <f t="shared" si="8"/>
        <v>10259.836074892053</v>
      </c>
      <c r="G67" s="194">
        <f t="shared" si="9"/>
        <v>1891742.0586620271</v>
      </c>
      <c r="H67" s="1"/>
      <c r="I67" s="1"/>
      <c r="J67" s="1"/>
      <c r="K67" s="1"/>
    </row>
    <row r="68" spans="1:11" ht="14.25" customHeight="1" x14ac:dyDescent="0.35">
      <c r="A68" s="1"/>
      <c r="B68" s="183">
        <v>53</v>
      </c>
      <c r="C68" s="184">
        <f t="shared" si="5"/>
        <v>46874</v>
      </c>
      <c r="D68" s="185">
        <f t="shared" si="6"/>
        <v>12641.360469859274</v>
      </c>
      <c r="E68" s="186">
        <f t="shared" si="7"/>
        <v>2394.4243187732936</v>
      </c>
      <c r="F68" s="187">
        <f t="shared" si="8"/>
        <v>10246.93615108598</v>
      </c>
      <c r="G68" s="188">
        <f t="shared" si="9"/>
        <v>1889347.6343432539</v>
      </c>
      <c r="H68" s="1"/>
      <c r="I68" s="1"/>
      <c r="J68" s="1"/>
      <c r="K68" s="1"/>
    </row>
    <row r="69" spans="1:11" ht="14.25" customHeight="1" x14ac:dyDescent="0.35">
      <c r="A69" s="1"/>
      <c r="B69" s="189">
        <v>54</v>
      </c>
      <c r="C69" s="190">
        <f t="shared" si="5"/>
        <v>46905</v>
      </c>
      <c r="D69" s="191">
        <f t="shared" si="6"/>
        <v>12641.360469859274</v>
      </c>
      <c r="E69" s="192">
        <f t="shared" si="7"/>
        <v>2407.3941171666484</v>
      </c>
      <c r="F69" s="193">
        <f t="shared" si="8"/>
        <v>10233.966352692625</v>
      </c>
      <c r="G69" s="194">
        <f t="shared" si="9"/>
        <v>1886940.2402260872</v>
      </c>
      <c r="H69" s="1"/>
      <c r="I69" s="1"/>
      <c r="J69" s="1"/>
      <c r="K69" s="1"/>
    </row>
    <row r="70" spans="1:11" ht="14.25" customHeight="1" x14ac:dyDescent="0.35">
      <c r="B70" s="183">
        <v>55</v>
      </c>
      <c r="C70" s="184">
        <f t="shared" si="5"/>
        <v>46935</v>
      </c>
      <c r="D70" s="185">
        <f t="shared" si="6"/>
        <v>12641.360469859274</v>
      </c>
      <c r="E70" s="186">
        <f t="shared" si="7"/>
        <v>2420.4341686346343</v>
      </c>
      <c r="F70" s="187">
        <f t="shared" si="8"/>
        <v>10220.926301224639</v>
      </c>
      <c r="G70" s="188">
        <f t="shared" si="9"/>
        <v>1884519.8060574525</v>
      </c>
    </row>
    <row r="71" spans="1:11" ht="14.25" customHeight="1" x14ac:dyDescent="0.35">
      <c r="B71" s="189">
        <v>56</v>
      </c>
      <c r="C71" s="190">
        <f t="shared" si="5"/>
        <v>46966</v>
      </c>
      <c r="D71" s="191">
        <f t="shared" si="6"/>
        <v>12641.360469859274</v>
      </c>
      <c r="E71" s="192">
        <f t="shared" si="7"/>
        <v>2433.5448537147386</v>
      </c>
      <c r="F71" s="193">
        <f t="shared" si="8"/>
        <v>10207.815616144535</v>
      </c>
      <c r="G71" s="194">
        <f t="shared" si="9"/>
        <v>1882086.2612037377</v>
      </c>
    </row>
    <row r="72" spans="1:11" ht="14.25" customHeight="1" x14ac:dyDescent="0.35">
      <c r="B72" s="183">
        <v>57</v>
      </c>
      <c r="C72" s="184">
        <f t="shared" si="5"/>
        <v>46997</v>
      </c>
      <c r="D72" s="185">
        <f t="shared" si="6"/>
        <v>12641.360469859274</v>
      </c>
      <c r="E72" s="186">
        <f t="shared" si="7"/>
        <v>2446.7265550056945</v>
      </c>
      <c r="F72" s="187">
        <f t="shared" si="8"/>
        <v>10194.633914853579</v>
      </c>
      <c r="G72" s="188">
        <f t="shared" si="9"/>
        <v>1879639.534648732</v>
      </c>
    </row>
    <row r="73" spans="1:11" ht="14.25" customHeight="1" x14ac:dyDescent="0.35">
      <c r="B73" s="189">
        <v>58</v>
      </c>
      <c r="C73" s="190">
        <f t="shared" si="5"/>
        <v>47027</v>
      </c>
      <c r="D73" s="191">
        <f t="shared" si="6"/>
        <v>12641.360469859274</v>
      </c>
      <c r="E73" s="192">
        <f t="shared" si="7"/>
        <v>2459.979657178641</v>
      </c>
      <c r="F73" s="193">
        <f t="shared" si="8"/>
        <v>10181.380812680633</v>
      </c>
      <c r="G73" s="194">
        <f t="shared" si="9"/>
        <v>1877179.5549915533</v>
      </c>
    </row>
    <row r="74" spans="1:11" ht="14.25" customHeight="1" x14ac:dyDescent="0.35">
      <c r="B74" s="183">
        <v>59</v>
      </c>
      <c r="C74" s="184">
        <f t="shared" si="5"/>
        <v>47058</v>
      </c>
      <c r="D74" s="185">
        <f t="shared" si="6"/>
        <v>12641.360469859274</v>
      </c>
      <c r="E74" s="186">
        <f t="shared" si="7"/>
        <v>2473.30454698836</v>
      </c>
      <c r="F74" s="187">
        <f t="shared" si="8"/>
        <v>10168.055922870913</v>
      </c>
      <c r="G74" s="188">
        <f t="shared" si="9"/>
        <v>1874706.250444565</v>
      </c>
    </row>
    <row r="75" spans="1:11" ht="14.25" customHeight="1" x14ac:dyDescent="0.35">
      <c r="B75" s="189">
        <v>60</v>
      </c>
      <c r="C75" s="190">
        <f t="shared" si="5"/>
        <v>47088</v>
      </c>
      <c r="D75" s="191">
        <f t="shared" si="6"/>
        <v>12641.360469859274</v>
      </c>
      <c r="E75" s="192">
        <f t="shared" si="7"/>
        <v>2486.7016132845456</v>
      </c>
      <c r="F75" s="193">
        <f t="shared" si="8"/>
        <v>10154.658856574728</v>
      </c>
      <c r="G75" s="194">
        <f t="shared" si="9"/>
        <v>1872219.5488312803</v>
      </c>
    </row>
  </sheetData>
  <mergeCells count="8">
    <mergeCell ref="A2:K2"/>
    <mergeCell ref="B7:E7"/>
    <mergeCell ref="B11:E11"/>
    <mergeCell ref="B9:E9"/>
    <mergeCell ref="B8:E8"/>
    <mergeCell ref="B4:K4"/>
    <mergeCell ref="B12:E12"/>
    <mergeCell ref="B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97316"/>
  </sheetPr>
  <dimension ref="A1:O54"/>
  <sheetViews>
    <sheetView showGridLines="0" zoomScaleNormal="100" workbookViewId="0">
      <selection activeCell="C52" sqref="C52"/>
    </sheetView>
  </sheetViews>
  <sheetFormatPr defaultColWidth="8.6328125" defaultRowHeight="14.5" x14ac:dyDescent="0.35"/>
  <cols>
    <col min="1" max="15" width="23.6328125" customWidth="1"/>
  </cols>
  <sheetData>
    <row r="1" spans="1:15" ht="7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9.75" customHeight="1" x14ac:dyDescent="0.35">
      <c r="A2" s="401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1"/>
      <c r="O2" s="1"/>
    </row>
    <row r="3" spans="1:15" ht="14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4.25" customHeight="1" x14ac:dyDescent="0.35">
      <c r="A4" s="1"/>
      <c r="B4" s="317" t="s">
        <v>314</v>
      </c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1"/>
      <c r="O4" s="1"/>
    </row>
    <row r="5" spans="1:15" ht="14.25" customHeigh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1.75" customHeight="1" x14ac:dyDescent="0.35">
      <c r="A6" s="1"/>
      <c r="B6" s="195" t="s">
        <v>315</v>
      </c>
      <c r="C6" s="195" t="s">
        <v>275</v>
      </c>
      <c r="D6" s="195" t="s">
        <v>276</v>
      </c>
      <c r="E6" s="195" t="s">
        <v>277</v>
      </c>
      <c r="F6" s="195" t="s">
        <v>278</v>
      </c>
      <c r="G6" s="195" t="s">
        <v>279</v>
      </c>
      <c r="H6" s="195" t="s">
        <v>169</v>
      </c>
      <c r="I6" s="1"/>
      <c r="J6" s="1"/>
      <c r="K6" s="1"/>
      <c r="L6" s="1"/>
      <c r="M6" s="1"/>
      <c r="N6" s="1"/>
      <c r="O6" s="1"/>
    </row>
    <row r="7" spans="1:15" ht="21.75" customHeight="1" x14ac:dyDescent="0.35">
      <c r="A7" s="1"/>
      <c r="B7" s="152" t="s">
        <v>316</v>
      </c>
      <c r="C7" s="196">
        <v>85000</v>
      </c>
      <c r="D7" s="197">
        <v>0</v>
      </c>
      <c r="E7" s="196">
        <v>120000</v>
      </c>
      <c r="F7" s="197">
        <v>0</v>
      </c>
      <c r="G7" s="197">
        <v>0</v>
      </c>
      <c r="H7" s="198">
        <f t="shared" ref="H7:H16" si="0">SUM(C7:G7)</f>
        <v>205000</v>
      </c>
      <c r="I7" s="1"/>
      <c r="J7" s="1"/>
      <c r="K7" s="1"/>
      <c r="L7" s="1"/>
      <c r="M7" s="1"/>
      <c r="N7" s="1"/>
      <c r="O7" s="1"/>
    </row>
    <row r="8" spans="1:15" ht="21.75" customHeight="1" x14ac:dyDescent="0.35">
      <c r="A8" s="1"/>
      <c r="B8" s="150" t="s">
        <v>317</v>
      </c>
      <c r="C8" s="199">
        <v>45000</v>
      </c>
      <c r="D8" s="199">
        <v>62000</v>
      </c>
      <c r="E8" s="200">
        <v>0</v>
      </c>
      <c r="F8" s="199">
        <v>78000</v>
      </c>
      <c r="G8" s="200">
        <v>0</v>
      </c>
      <c r="H8" s="201">
        <f t="shared" si="0"/>
        <v>185000</v>
      </c>
      <c r="I8" s="1"/>
      <c r="J8" s="1"/>
      <c r="K8" s="1"/>
      <c r="L8" s="1"/>
      <c r="M8" s="1"/>
      <c r="N8" s="1"/>
      <c r="O8" s="1"/>
    </row>
    <row r="9" spans="1:15" ht="21.75" customHeight="1" x14ac:dyDescent="0.35">
      <c r="A9" s="1"/>
      <c r="B9" s="152" t="s">
        <v>318</v>
      </c>
      <c r="C9" s="196">
        <v>12000</v>
      </c>
      <c r="D9" s="196">
        <v>18000</v>
      </c>
      <c r="E9" s="196">
        <v>22000</v>
      </c>
      <c r="F9" s="196">
        <v>15000</v>
      </c>
      <c r="G9" s="196">
        <v>28000</v>
      </c>
      <c r="H9" s="198">
        <f t="shared" si="0"/>
        <v>95000</v>
      </c>
      <c r="I9" s="1"/>
      <c r="J9" s="1"/>
      <c r="K9" s="1"/>
      <c r="L9" s="1"/>
      <c r="M9" s="1"/>
      <c r="N9" s="1"/>
      <c r="O9" s="1"/>
    </row>
    <row r="10" spans="1:15" ht="21.75" customHeight="1" x14ac:dyDescent="0.35">
      <c r="A10" s="1"/>
      <c r="B10" s="150" t="s">
        <v>319</v>
      </c>
      <c r="C10" s="199">
        <v>32000</v>
      </c>
      <c r="D10" s="200">
        <v>0</v>
      </c>
      <c r="E10" s="199">
        <v>48000</v>
      </c>
      <c r="F10" s="200">
        <v>0</v>
      </c>
      <c r="G10" s="199">
        <v>55000</v>
      </c>
      <c r="H10" s="201">
        <f t="shared" si="0"/>
        <v>135000</v>
      </c>
      <c r="I10" s="1"/>
      <c r="J10" s="1"/>
      <c r="K10" s="1"/>
      <c r="L10" s="1"/>
      <c r="M10" s="1"/>
      <c r="N10" s="1"/>
      <c r="O10" s="1"/>
    </row>
    <row r="11" spans="1:15" ht="21.75" customHeight="1" x14ac:dyDescent="0.35">
      <c r="A11" s="1"/>
      <c r="B11" s="152" t="s">
        <v>320</v>
      </c>
      <c r="C11" s="197">
        <v>0</v>
      </c>
      <c r="D11" s="196">
        <v>28000</v>
      </c>
      <c r="E11" s="197">
        <v>0</v>
      </c>
      <c r="F11" s="197">
        <v>0</v>
      </c>
      <c r="G11" s="196">
        <v>35000</v>
      </c>
      <c r="H11" s="198">
        <f t="shared" si="0"/>
        <v>63000</v>
      </c>
      <c r="I11" s="1"/>
      <c r="J11" s="1"/>
      <c r="K11" s="1"/>
      <c r="L11" s="1"/>
      <c r="M11" s="1"/>
      <c r="N11" s="1"/>
      <c r="O11" s="1"/>
    </row>
    <row r="12" spans="1:15" ht="21.75" customHeight="1" x14ac:dyDescent="0.35">
      <c r="A12" s="1"/>
      <c r="B12" s="150" t="s">
        <v>321</v>
      </c>
      <c r="C12" s="199">
        <v>55000</v>
      </c>
      <c r="D12" s="199">
        <v>72000</v>
      </c>
      <c r="E12" s="199">
        <v>88000</v>
      </c>
      <c r="F12" s="199">
        <v>95000</v>
      </c>
      <c r="G12" s="199">
        <v>102000</v>
      </c>
      <c r="H12" s="201">
        <f t="shared" si="0"/>
        <v>412000</v>
      </c>
      <c r="I12" s="1"/>
      <c r="J12" s="1"/>
      <c r="K12" s="1"/>
      <c r="L12" s="1"/>
      <c r="M12" s="1"/>
      <c r="N12" s="1"/>
      <c r="O12" s="1"/>
    </row>
    <row r="13" spans="1:15" ht="21.75" customHeight="1" x14ac:dyDescent="0.35">
      <c r="A13" s="1"/>
      <c r="B13" s="152" t="s">
        <v>322</v>
      </c>
      <c r="C13" s="196">
        <v>8000</v>
      </c>
      <c r="D13" s="196">
        <v>9500</v>
      </c>
      <c r="E13" s="196">
        <v>10000</v>
      </c>
      <c r="F13" s="196">
        <v>10500</v>
      </c>
      <c r="G13" s="196">
        <v>11000</v>
      </c>
      <c r="H13" s="198">
        <f t="shared" si="0"/>
        <v>49000</v>
      </c>
      <c r="I13" s="1"/>
      <c r="J13" s="1"/>
      <c r="K13" s="1"/>
      <c r="L13" s="1"/>
      <c r="M13" s="1"/>
      <c r="N13" s="1"/>
      <c r="O13" s="1"/>
    </row>
    <row r="14" spans="1:15" ht="21.75" customHeight="1" x14ac:dyDescent="0.35">
      <c r="A14" s="1"/>
      <c r="B14" s="150" t="s">
        <v>323</v>
      </c>
      <c r="C14" s="199">
        <v>22000</v>
      </c>
      <c r="D14" s="199">
        <v>5000</v>
      </c>
      <c r="E14" s="199">
        <v>5000</v>
      </c>
      <c r="F14" s="199">
        <v>5000</v>
      </c>
      <c r="G14" s="199">
        <v>28000</v>
      </c>
      <c r="H14" s="201">
        <f t="shared" si="0"/>
        <v>65000</v>
      </c>
      <c r="I14" s="1"/>
      <c r="J14" s="1"/>
      <c r="K14" s="1"/>
      <c r="L14" s="1"/>
      <c r="M14" s="1"/>
      <c r="N14" s="1"/>
      <c r="O14" s="1"/>
    </row>
    <row r="15" spans="1:15" ht="21.75" customHeight="1" x14ac:dyDescent="0.35">
      <c r="A15" s="1"/>
      <c r="B15" s="152" t="s">
        <v>324</v>
      </c>
      <c r="C15" s="196">
        <v>38000</v>
      </c>
      <c r="D15" s="196">
        <v>42000</v>
      </c>
      <c r="E15" s="196">
        <v>45000</v>
      </c>
      <c r="F15" s="196">
        <v>48000</v>
      </c>
      <c r="G15" s="196">
        <v>52000</v>
      </c>
      <c r="H15" s="198">
        <f t="shared" si="0"/>
        <v>225000</v>
      </c>
      <c r="I15" s="1"/>
      <c r="J15" s="1"/>
      <c r="K15" s="1"/>
      <c r="L15" s="1"/>
      <c r="M15" s="1"/>
      <c r="N15" s="1"/>
      <c r="O15" s="1"/>
    </row>
    <row r="16" spans="1:15" ht="21.75" customHeight="1" x14ac:dyDescent="0.35">
      <c r="A16" s="1"/>
      <c r="B16" s="150" t="s">
        <v>325</v>
      </c>
      <c r="C16" s="199">
        <v>29700</v>
      </c>
      <c r="D16" s="199">
        <v>23650</v>
      </c>
      <c r="E16" s="199">
        <v>33800</v>
      </c>
      <c r="F16" s="199">
        <v>25150</v>
      </c>
      <c r="G16" s="199">
        <v>31100</v>
      </c>
      <c r="H16" s="201">
        <f t="shared" si="0"/>
        <v>143400</v>
      </c>
      <c r="I16" s="1"/>
      <c r="J16" s="1"/>
      <c r="K16" s="1"/>
      <c r="L16" s="1"/>
      <c r="M16" s="1"/>
      <c r="N16" s="1"/>
      <c r="O16" s="1"/>
    </row>
    <row r="17" spans="1:15" ht="14.2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4" customHeight="1" x14ac:dyDescent="0.35">
      <c r="A18" s="1"/>
      <c r="B18" s="202" t="s">
        <v>326</v>
      </c>
      <c r="C18" s="203">
        <f t="shared" ref="C18:H18" si="1">SUM(C7:C16)</f>
        <v>326700</v>
      </c>
      <c r="D18" s="203">
        <f t="shared" si="1"/>
        <v>260150</v>
      </c>
      <c r="E18" s="203">
        <f t="shared" si="1"/>
        <v>371800</v>
      </c>
      <c r="F18" s="203">
        <f t="shared" si="1"/>
        <v>276650</v>
      </c>
      <c r="G18" s="203">
        <f t="shared" si="1"/>
        <v>342100</v>
      </c>
      <c r="H18" s="204">
        <f t="shared" si="1"/>
        <v>1577400</v>
      </c>
      <c r="I18" s="1"/>
      <c r="J18" s="1"/>
      <c r="K18" s="1"/>
      <c r="L18" s="1"/>
      <c r="M18" s="1"/>
      <c r="N18" s="1"/>
      <c r="O18" s="1"/>
    </row>
    <row r="19" spans="1:15" ht="14.2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4.2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4.2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4.2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4.2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2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4.2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4.2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4.2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4.2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4.2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4.2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4.2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4.2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4.2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4.2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4.2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4.2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4.2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4.2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4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4.2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4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4.2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4.2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4.2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4.2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4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4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4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4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4.2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4.2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4.2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4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4.2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</sheetData>
  <mergeCells count="2">
    <mergeCell ref="B4:M4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C4899"/>
  </sheetPr>
  <dimension ref="A1:M49"/>
  <sheetViews>
    <sheetView showGridLines="0" topLeftCell="A7" zoomScaleNormal="100" workbookViewId="0">
      <selection activeCell="G20" sqref="G20"/>
    </sheetView>
  </sheetViews>
  <sheetFormatPr defaultColWidth="8.6328125" defaultRowHeight="14.5" x14ac:dyDescent="0.35"/>
  <cols>
    <col min="1" max="1" width="21.54296875" customWidth="1"/>
    <col min="2" max="13" width="30.453125" customWidth="1"/>
  </cols>
  <sheetData>
    <row r="1" spans="1:13" ht="7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9.75" customHeight="1" x14ac:dyDescent="0.35">
      <c r="A2" s="401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</row>
    <row r="3" spans="1:13" ht="14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9.7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4.25" customHeight="1" x14ac:dyDescent="0.35">
      <c r="A5" s="1"/>
      <c r="B5" s="317" t="s">
        <v>327</v>
      </c>
      <c r="C5" s="304"/>
      <c r="D5" s="304"/>
      <c r="E5" s="304"/>
      <c r="F5" s="304"/>
      <c r="G5" s="304"/>
      <c r="H5" s="304"/>
      <c r="I5" s="304"/>
      <c r="J5" s="304"/>
      <c r="K5" s="304"/>
      <c r="L5" s="304"/>
      <c r="M5" s="304"/>
    </row>
    <row r="6" spans="1:13" ht="19.5" customHeight="1" x14ac:dyDescent="0.35">
      <c r="A6" s="1"/>
      <c r="B6" s="205" t="s">
        <v>328</v>
      </c>
      <c r="C6" s="205" t="s">
        <v>329</v>
      </c>
      <c r="D6" s="205" t="s">
        <v>330</v>
      </c>
      <c r="E6" s="205" t="s">
        <v>331</v>
      </c>
      <c r="F6" s="1"/>
      <c r="G6" s="1"/>
      <c r="H6" s="1"/>
      <c r="I6" s="1"/>
      <c r="J6" s="1"/>
      <c r="K6" s="1"/>
      <c r="L6" s="1"/>
      <c r="M6" s="1"/>
    </row>
    <row r="7" spans="1:13" ht="19.5" customHeight="1" x14ac:dyDescent="0.35">
      <c r="A7" s="1"/>
      <c r="B7" s="152" t="s">
        <v>332</v>
      </c>
      <c r="C7" s="206">
        <v>0.08</v>
      </c>
      <c r="D7" s="207" t="s">
        <v>333</v>
      </c>
      <c r="E7" s="208" t="s">
        <v>334</v>
      </c>
      <c r="F7" s="1"/>
      <c r="G7" s="1"/>
      <c r="H7" s="1"/>
      <c r="I7" s="1"/>
      <c r="J7" s="1"/>
      <c r="K7" s="1"/>
      <c r="L7" s="1"/>
      <c r="M7" s="1"/>
    </row>
    <row r="8" spans="1:13" ht="19.5" customHeight="1" x14ac:dyDescent="0.35">
      <c r="A8" s="1"/>
      <c r="B8" s="150" t="s">
        <v>335</v>
      </c>
      <c r="C8" s="209">
        <v>4.4999999999999998E-2</v>
      </c>
      <c r="D8" s="210" t="s">
        <v>333</v>
      </c>
      <c r="E8" s="211" t="s">
        <v>336</v>
      </c>
      <c r="F8" s="1"/>
      <c r="G8" s="1"/>
      <c r="H8" s="1"/>
      <c r="I8" s="1"/>
      <c r="J8" s="1"/>
      <c r="K8" s="1"/>
      <c r="L8" s="1"/>
      <c r="M8" s="1"/>
    </row>
    <row r="9" spans="1:13" ht="19.5" customHeight="1" x14ac:dyDescent="0.35">
      <c r="A9" s="1"/>
      <c r="B9" s="152" t="s">
        <v>271</v>
      </c>
      <c r="C9" s="206">
        <v>0.05</v>
      </c>
      <c r="D9" s="207" t="s">
        <v>333</v>
      </c>
      <c r="E9" s="208" t="s">
        <v>337</v>
      </c>
      <c r="F9" s="1"/>
      <c r="G9" s="1"/>
      <c r="H9" s="1"/>
      <c r="I9" s="1"/>
      <c r="J9" s="1"/>
      <c r="K9" s="1"/>
      <c r="L9" s="1"/>
      <c r="M9" s="1"/>
    </row>
    <row r="10" spans="1:13" ht="19.5" customHeight="1" x14ac:dyDescent="0.35">
      <c r="A10" s="1"/>
      <c r="B10" s="150" t="s">
        <v>338</v>
      </c>
      <c r="C10" s="209">
        <v>5.0000000000000001E-3</v>
      </c>
      <c r="D10" s="210" t="s">
        <v>333</v>
      </c>
      <c r="E10" s="211" t="s">
        <v>339</v>
      </c>
      <c r="F10" s="1"/>
      <c r="G10" s="1"/>
      <c r="H10" s="1"/>
      <c r="I10" s="1"/>
      <c r="J10" s="1"/>
      <c r="K10" s="1"/>
      <c r="L10" s="1"/>
      <c r="M10" s="1"/>
    </row>
    <row r="11" spans="1:13" ht="14.2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9.7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4.25" customHeight="1" x14ac:dyDescent="0.35">
      <c r="A13" s="1"/>
      <c r="B13" s="317" t="s">
        <v>340</v>
      </c>
      <c r="C13" s="304"/>
      <c r="D13" s="304"/>
      <c r="E13" s="304"/>
      <c r="F13" s="304"/>
      <c r="G13" s="304"/>
      <c r="H13" s="304"/>
      <c r="I13" s="304"/>
      <c r="J13" s="304"/>
      <c r="K13" s="304"/>
      <c r="L13" s="304"/>
      <c r="M13" s="304"/>
    </row>
    <row r="14" spans="1:13" ht="19.5" customHeight="1" x14ac:dyDescent="0.35">
      <c r="A14" s="1"/>
      <c r="B14" s="205" t="s">
        <v>328</v>
      </c>
      <c r="C14" s="205" t="s">
        <v>329</v>
      </c>
      <c r="D14" s="205" t="s">
        <v>330</v>
      </c>
      <c r="E14" s="205" t="s">
        <v>331</v>
      </c>
      <c r="F14" s="1"/>
      <c r="G14" s="1"/>
      <c r="H14" s="1"/>
      <c r="I14" s="1"/>
      <c r="J14" s="1"/>
      <c r="K14" s="1"/>
      <c r="L14" s="1"/>
      <c r="M14" s="1"/>
    </row>
    <row r="15" spans="1:13" ht="19.5" customHeight="1" x14ac:dyDescent="0.35">
      <c r="A15" s="1"/>
      <c r="B15" s="152" t="s">
        <v>341</v>
      </c>
      <c r="C15" s="206">
        <v>0.36</v>
      </c>
      <c r="D15" s="207" t="s">
        <v>333</v>
      </c>
      <c r="E15" s="208" t="s">
        <v>342</v>
      </c>
      <c r="F15" s="1"/>
      <c r="G15" s="1"/>
      <c r="H15" s="1"/>
      <c r="I15" s="1"/>
      <c r="J15" s="1"/>
      <c r="K15" s="1"/>
      <c r="L15" s="1"/>
      <c r="M15" s="1"/>
    </row>
    <row r="16" spans="1:13" ht="19.5" customHeight="1" x14ac:dyDescent="0.35">
      <c r="A16" s="1"/>
      <c r="B16" s="150" t="s">
        <v>343</v>
      </c>
      <c r="C16" s="209">
        <v>0.05</v>
      </c>
      <c r="D16" s="210" t="s">
        <v>333</v>
      </c>
      <c r="E16" s="211" t="s">
        <v>342</v>
      </c>
      <c r="F16" s="1"/>
      <c r="G16" s="1"/>
      <c r="H16" s="1"/>
      <c r="I16" s="1"/>
      <c r="J16" s="1"/>
      <c r="K16" s="1"/>
      <c r="L16" s="1"/>
      <c r="M16" s="1"/>
    </row>
    <row r="17" spans="1:13" ht="19.5" customHeight="1" x14ac:dyDescent="0.35">
      <c r="A17" s="1"/>
      <c r="B17" s="152" t="s">
        <v>344</v>
      </c>
      <c r="C17" s="206">
        <v>0.06</v>
      </c>
      <c r="D17" s="207" t="s">
        <v>333</v>
      </c>
      <c r="E17" s="208" t="s">
        <v>345</v>
      </c>
      <c r="F17" s="1"/>
      <c r="G17" s="1"/>
      <c r="H17" s="1"/>
      <c r="I17" s="1"/>
      <c r="J17" s="1"/>
      <c r="K17" s="1"/>
      <c r="L17" s="1"/>
      <c r="M17" s="1"/>
    </row>
    <row r="18" spans="1:13" ht="19.5" customHeight="1" x14ac:dyDescent="0.35">
      <c r="A18" s="1"/>
      <c r="B18" s="150" t="s">
        <v>346</v>
      </c>
      <c r="C18" s="209">
        <v>3.5000000000000003E-2</v>
      </c>
      <c r="D18" s="210" t="s">
        <v>333</v>
      </c>
      <c r="E18" s="211" t="s">
        <v>345</v>
      </c>
      <c r="F18" s="1"/>
      <c r="G18" s="1"/>
      <c r="H18" s="1"/>
      <c r="I18" s="1"/>
      <c r="J18" s="1"/>
      <c r="K18" s="1"/>
      <c r="L18" s="1"/>
      <c r="M18" s="1"/>
    </row>
    <row r="19" spans="1:13" ht="14.2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9.7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4.25" customHeight="1" x14ac:dyDescent="0.35">
      <c r="A21" s="1"/>
      <c r="B21" s="317" t="s">
        <v>347</v>
      </c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</row>
    <row r="22" spans="1:13" ht="19.5" customHeight="1" x14ac:dyDescent="0.35">
      <c r="A22" s="1"/>
      <c r="B22" s="205" t="s">
        <v>328</v>
      </c>
      <c r="C22" s="205" t="s">
        <v>329</v>
      </c>
      <c r="D22" s="205" t="s">
        <v>330</v>
      </c>
      <c r="E22" s="205" t="s">
        <v>331</v>
      </c>
      <c r="F22" s="1"/>
      <c r="G22" s="1"/>
      <c r="H22" s="1"/>
      <c r="I22" s="1"/>
      <c r="J22" s="1"/>
      <c r="K22" s="1"/>
      <c r="L22" s="1"/>
      <c r="M22" s="1"/>
    </row>
    <row r="23" spans="1:13" ht="19.5" customHeight="1" x14ac:dyDescent="0.35">
      <c r="A23" s="1"/>
      <c r="B23" s="152" t="s">
        <v>302</v>
      </c>
      <c r="C23" s="212">
        <v>2000000</v>
      </c>
      <c r="D23" s="207" t="s">
        <v>348</v>
      </c>
      <c r="E23" s="208" t="s">
        <v>349</v>
      </c>
      <c r="F23" s="1"/>
      <c r="G23" s="1"/>
      <c r="H23" s="1"/>
      <c r="I23" s="1"/>
      <c r="J23" s="1"/>
      <c r="K23" s="1"/>
      <c r="L23" s="1"/>
      <c r="M23" s="1"/>
    </row>
    <row r="24" spans="1:13" ht="19.5" customHeight="1" x14ac:dyDescent="0.35">
      <c r="A24" s="1"/>
      <c r="B24" s="150" t="s">
        <v>350</v>
      </c>
      <c r="C24" s="209">
        <v>6.5000000000000002E-2</v>
      </c>
      <c r="D24" s="210" t="s">
        <v>351</v>
      </c>
      <c r="E24" s="211" t="s">
        <v>352</v>
      </c>
      <c r="F24" s="1"/>
      <c r="G24" s="1"/>
      <c r="H24" s="1"/>
      <c r="I24" s="1"/>
      <c r="J24" s="1"/>
      <c r="K24" s="1"/>
      <c r="L24" s="1"/>
      <c r="M24" s="1"/>
    </row>
    <row r="25" spans="1:13" ht="19.5" customHeight="1" x14ac:dyDescent="0.35">
      <c r="A25" s="1"/>
      <c r="B25" s="152" t="s">
        <v>353</v>
      </c>
      <c r="C25" s="213">
        <v>30</v>
      </c>
      <c r="D25" s="207" t="s">
        <v>354</v>
      </c>
      <c r="E25" s="208" t="s">
        <v>355</v>
      </c>
      <c r="F25" s="1"/>
      <c r="G25" s="1"/>
      <c r="H25" s="1"/>
      <c r="I25" s="1"/>
      <c r="J25" s="1"/>
      <c r="K25" s="1"/>
      <c r="L25" s="1"/>
      <c r="M25" s="1"/>
    </row>
    <row r="26" spans="1:13" ht="19.5" customHeight="1" x14ac:dyDescent="0.35">
      <c r="A26" s="1"/>
      <c r="B26" s="150" t="s">
        <v>356</v>
      </c>
      <c r="C26" s="209">
        <v>0.7</v>
      </c>
      <c r="D26" s="210" t="s">
        <v>333</v>
      </c>
      <c r="E26" s="211" t="s">
        <v>357</v>
      </c>
      <c r="F26" s="1"/>
      <c r="G26" s="1"/>
      <c r="H26" s="1"/>
      <c r="I26" s="1"/>
      <c r="J26" s="1"/>
      <c r="K26" s="1"/>
      <c r="L26" s="1"/>
      <c r="M26" s="1"/>
    </row>
    <row r="27" spans="1:13" ht="14.2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9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4.25" customHeight="1" x14ac:dyDescent="0.35">
      <c r="A29" s="1"/>
      <c r="B29" s="317" t="s">
        <v>358</v>
      </c>
      <c r="C29" s="304"/>
      <c r="D29" s="304"/>
      <c r="E29" s="304"/>
      <c r="F29" s="304"/>
      <c r="G29" s="304"/>
      <c r="H29" s="304"/>
      <c r="I29" s="304"/>
      <c r="J29" s="304"/>
      <c r="K29" s="304"/>
      <c r="L29" s="304"/>
      <c r="M29" s="304"/>
    </row>
    <row r="30" spans="1:13" ht="19.5" customHeight="1" x14ac:dyDescent="0.35">
      <c r="A30" s="1"/>
      <c r="B30" s="205" t="s">
        <v>328</v>
      </c>
      <c r="C30" s="205" t="s">
        <v>329</v>
      </c>
      <c r="D30" s="205" t="s">
        <v>330</v>
      </c>
      <c r="E30" s="205" t="s">
        <v>331</v>
      </c>
      <c r="F30" s="1"/>
      <c r="G30" s="1"/>
      <c r="H30" s="1"/>
      <c r="I30" s="1"/>
      <c r="J30" s="1"/>
      <c r="K30" s="1"/>
      <c r="L30" s="1"/>
      <c r="M30" s="1"/>
    </row>
    <row r="31" spans="1:13" ht="19.5" customHeight="1" x14ac:dyDescent="0.35">
      <c r="A31" s="1"/>
      <c r="B31" s="152" t="s">
        <v>359</v>
      </c>
      <c r="C31" s="214" t="s">
        <v>360</v>
      </c>
      <c r="D31" s="207" t="s">
        <v>333</v>
      </c>
      <c r="E31" s="208" t="s">
        <v>361</v>
      </c>
      <c r="F31" s="1"/>
      <c r="G31" s="1"/>
      <c r="H31" s="1"/>
      <c r="I31" s="1"/>
      <c r="J31" s="1"/>
      <c r="K31" s="1"/>
      <c r="L31" s="1"/>
      <c r="M31" s="1"/>
    </row>
    <row r="32" spans="1:13" ht="19.5" customHeight="1" x14ac:dyDescent="0.35">
      <c r="A32" s="1"/>
      <c r="B32" s="150" t="s">
        <v>362</v>
      </c>
      <c r="C32" s="215" t="s">
        <v>363</v>
      </c>
      <c r="D32" s="210" t="s">
        <v>348</v>
      </c>
      <c r="E32" s="211" t="s">
        <v>364</v>
      </c>
      <c r="F32" s="1"/>
      <c r="G32" s="1"/>
      <c r="H32" s="1"/>
      <c r="I32" s="1"/>
      <c r="J32" s="1"/>
      <c r="K32" s="1"/>
      <c r="L32" s="1"/>
      <c r="M32" s="1"/>
    </row>
    <row r="33" spans="1:13" ht="19.5" customHeight="1" x14ac:dyDescent="0.35">
      <c r="A33" s="1"/>
      <c r="B33" s="152" t="s">
        <v>365</v>
      </c>
      <c r="C33" s="214" t="s">
        <v>366</v>
      </c>
      <c r="D33" s="207" t="s">
        <v>333</v>
      </c>
      <c r="E33" s="208" t="s">
        <v>367</v>
      </c>
      <c r="F33" s="1"/>
      <c r="G33" s="1"/>
      <c r="H33" s="1"/>
      <c r="I33" s="1"/>
      <c r="J33" s="1"/>
      <c r="K33" s="1"/>
      <c r="L33" s="1"/>
      <c r="M33" s="1"/>
    </row>
    <row r="34" spans="1:13" ht="19.5" customHeight="1" x14ac:dyDescent="0.35">
      <c r="A34" s="1"/>
      <c r="B34" s="150" t="s">
        <v>368</v>
      </c>
      <c r="C34" s="215" t="s">
        <v>369</v>
      </c>
      <c r="D34" s="210" t="s">
        <v>354</v>
      </c>
      <c r="E34" s="211" t="s">
        <v>370</v>
      </c>
      <c r="F34" s="1"/>
      <c r="G34" s="1"/>
      <c r="H34" s="1"/>
      <c r="I34" s="1"/>
      <c r="J34" s="1"/>
      <c r="K34" s="1"/>
      <c r="L34" s="1"/>
      <c r="M34" s="1"/>
    </row>
    <row r="35" spans="1:13" ht="14.2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4.25" customHeight="1" x14ac:dyDescent="0.35">
      <c r="A36" s="1"/>
      <c r="B36" s="216" t="s">
        <v>270</v>
      </c>
      <c r="C36" s="217">
        <v>4.4999999999999998E-2</v>
      </c>
      <c r="D36" s="1"/>
      <c r="E36" s="218" t="s">
        <v>371</v>
      </c>
      <c r="F36" s="1"/>
      <c r="G36" s="1"/>
      <c r="H36" s="1"/>
      <c r="I36" s="1"/>
      <c r="J36" s="1"/>
      <c r="K36" s="1"/>
      <c r="L36" s="1"/>
      <c r="M36" s="1"/>
    </row>
    <row r="37" spans="1:13" ht="14.25" customHeight="1" x14ac:dyDescent="0.35">
      <c r="A37" s="1"/>
      <c r="B37" s="216" t="s">
        <v>272</v>
      </c>
      <c r="C37" s="217">
        <v>0.03</v>
      </c>
      <c r="D37" s="1"/>
      <c r="E37" s="218" t="s">
        <v>372</v>
      </c>
      <c r="F37" s="1"/>
      <c r="G37" s="1"/>
      <c r="H37" s="1"/>
      <c r="I37" s="1"/>
      <c r="J37" s="1"/>
      <c r="K37" s="1"/>
      <c r="L37" s="1"/>
      <c r="M37" s="1"/>
    </row>
    <row r="38" spans="1:13" ht="14.25" customHeight="1" x14ac:dyDescent="0.35">
      <c r="A38" s="1"/>
      <c r="B38" s="216" t="s">
        <v>373</v>
      </c>
      <c r="C38" s="219">
        <v>2950</v>
      </c>
      <c r="D38" s="1"/>
      <c r="E38" s="218" t="s">
        <v>374</v>
      </c>
      <c r="F38" s="1"/>
      <c r="G38" s="1"/>
      <c r="H38" s="1"/>
      <c r="I38" s="1"/>
      <c r="J38" s="1"/>
      <c r="K38" s="1"/>
      <c r="L38" s="1"/>
      <c r="M38" s="1"/>
    </row>
    <row r="39" spans="1:13" ht="14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4.25" customHeight="1" x14ac:dyDescent="0.35">
      <c r="A40" s="1"/>
      <c r="B40" s="218" t="s">
        <v>375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4.25" customHeight="1" x14ac:dyDescent="0.35">
      <c r="A41" s="1"/>
      <c r="B41" s="216" t="s">
        <v>376</v>
      </c>
      <c r="C41" s="219">
        <v>8275</v>
      </c>
      <c r="D41" s="1"/>
      <c r="E41" s="218" t="s">
        <v>377</v>
      </c>
      <c r="F41" s="1"/>
      <c r="G41" s="1"/>
      <c r="H41" s="1"/>
      <c r="I41" s="1"/>
      <c r="J41" s="1"/>
      <c r="K41" s="1"/>
      <c r="L41" s="1"/>
      <c r="M41" s="1"/>
    </row>
    <row r="42" spans="1:13" ht="14.25" customHeight="1" x14ac:dyDescent="0.35">
      <c r="A42" s="1"/>
      <c r="B42" s="216" t="s">
        <v>378</v>
      </c>
      <c r="C42" s="219">
        <v>22066</v>
      </c>
      <c r="D42" s="1"/>
      <c r="E42" s="218" t="s">
        <v>379</v>
      </c>
      <c r="F42" s="1"/>
      <c r="G42" s="1"/>
      <c r="H42" s="1"/>
      <c r="I42" s="1"/>
      <c r="J42" s="1"/>
      <c r="K42" s="1"/>
      <c r="L42" s="1"/>
      <c r="M42" s="1"/>
    </row>
    <row r="43" spans="1:13" ht="14.25" customHeight="1" x14ac:dyDescent="0.35">
      <c r="A43" s="1"/>
      <c r="B43" s="216" t="s">
        <v>380</v>
      </c>
      <c r="C43" s="217">
        <v>0.08</v>
      </c>
      <c r="D43" s="1"/>
      <c r="E43" s="218" t="s">
        <v>342</v>
      </c>
      <c r="F43" s="1"/>
      <c r="G43" s="1"/>
      <c r="H43" s="1"/>
      <c r="I43" s="1"/>
      <c r="J43" s="1"/>
      <c r="K43" s="1"/>
      <c r="L43" s="1"/>
      <c r="M43" s="1"/>
    </row>
    <row r="44" spans="1:13" ht="14.25" customHeight="1" x14ac:dyDescent="0.35">
      <c r="A44" s="1"/>
      <c r="B44" s="216" t="s">
        <v>381</v>
      </c>
      <c r="C44" s="217">
        <v>2.5000000000000001E-2</v>
      </c>
      <c r="D44" s="1"/>
      <c r="E44" s="218" t="s">
        <v>342</v>
      </c>
      <c r="F44" s="1"/>
      <c r="G44" s="1"/>
      <c r="H44" s="1"/>
      <c r="I44" s="1"/>
      <c r="J44" s="1"/>
      <c r="K44" s="1"/>
      <c r="L44" s="1"/>
      <c r="M44" s="1"/>
    </row>
    <row r="45" spans="1:13" ht="14.25" customHeight="1" x14ac:dyDescent="0.35">
      <c r="A45" s="1"/>
      <c r="B45" s="216" t="s">
        <v>382</v>
      </c>
      <c r="C45" s="217">
        <v>1.7999999999999999E-2</v>
      </c>
      <c r="D45" s="1"/>
      <c r="E45" s="218" t="s">
        <v>342</v>
      </c>
      <c r="F45" s="1"/>
      <c r="G45" s="1"/>
      <c r="H45" s="1"/>
      <c r="I45" s="1"/>
      <c r="J45" s="1"/>
      <c r="K45" s="1"/>
      <c r="L45" s="1"/>
      <c r="M45" s="1"/>
    </row>
    <row r="46" spans="1:13" ht="14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4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4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4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</sheetData>
  <mergeCells count="5">
    <mergeCell ref="B5:M5"/>
    <mergeCell ref="B13:M13"/>
    <mergeCell ref="B21:M21"/>
    <mergeCell ref="A2:M2"/>
    <mergeCell ref="B29:M29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D26A"/>
  </sheetPr>
  <dimension ref="A1:M59"/>
  <sheetViews>
    <sheetView showGridLines="0" zoomScaleNormal="100" workbookViewId="0">
      <selection activeCell="D37" sqref="D37"/>
    </sheetView>
  </sheetViews>
  <sheetFormatPr defaultColWidth="8.6328125" defaultRowHeight="14.5" x14ac:dyDescent="0.35"/>
  <cols>
    <col min="1" max="1" width="21.81640625" customWidth="1"/>
    <col min="2" max="13" width="29.6328125" customWidth="1"/>
  </cols>
  <sheetData>
    <row r="1" spans="1:13" ht="7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9.75" customHeight="1" x14ac:dyDescent="0.35">
      <c r="A2" s="401"/>
      <c r="B2" s="304"/>
      <c r="C2" s="304"/>
      <c r="D2" s="304"/>
      <c r="E2" s="304"/>
      <c r="F2" s="304"/>
      <c r="G2" s="304"/>
      <c r="H2" s="304"/>
      <c r="I2" s="304"/>
      <c r="J2" s="1"/>
      <c r="K2" s="1"/>
      <c r="L2" s="1"/>
      <c r="M2" s="1"/>
    </row>
    <row r="3" spans="1:13" ht="14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4.2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1.75" customHeight="1" x14ac:dyDescent="0.35">
      <c r="A5" s="1"/>
      <c r="B5" s="220" t="s">
        <v>383</v>
      </c>
      <c r="C5" s="221" t="s">
        <v>384</v>
      </c>
      <c r="D5" s="221" t="s">
        <v>385</v>
      </c>
      <c r="E5" s="221" t="s">
        <v>386</v>
      </c>
      <c r="F5" s="221" t="s">
        <v>119</v>
      </c>
      <c r="G5" s="221" t="s">
        <v>387</v>
      </c>
      <c r="H5" s="1"/>
      <c r="I5" s="1"/>
      <c r="J5" s="1"/>
      <c r="K5" s="1"/>
      <c r="L5" s="1"/>
      <c r="M5" s="1"/>
    </row>
    <row r="6" spans="1:13" ht="19.5" customHeight="1" x14ac:dyDescent="0.35">
      <c r="A6" s="1"/>
      <c r="B6" s="222" t="s">
        <v>9</v>
      </c>
      <c r="C6" s="223">
        <v>48</v>
      </c>
      <c r="D6" s="223">
        <v>68</v>
      </c>
      <c r="E6" s="223">
        <v>98</v>
      </c>
      <c r="F6" s="223">
        <v>138</v>
      </c>
      <c r="G6" s="223">
        <f t="shared" ref="G6:G22" si="0">C6+D6+E6+F6</f>
        <v>352</v>
      </c>
      <c r="H6" s="1"/>
      <c r="I6" s="1"/>
      <c r="J6" s="1"/>
      <c r="K6" s="1"/>
      <c r="L6" s="1"/>
      <c r="M6" s="1"/>
    </row>
    <row r="7" spans="1:13" ht="19.5" customHeight="1" x14ac:dyDescent="0.35">
      <c r="A7" s="1"/>
      <c r="B7" s="150" t="s">
        <v>388</v>
      </c>
      <c r="C7" s="224">
        <v>18</v>
      </c>
      <c r="D7" s="224">
        <v>18</v>
      </c>
      <c r="E7" s="224">
        <v>18</v>
      </c>
      <c r="F7" s="224">
        <v>18</v>
      </c>
      <c r="G7" s="224">
        <f t="shared" si="0"/>
        <v>72</v>
      </c>
      <c r="H7" s="1"/>
      <c r="I7" s="1"/>
      <c r="J7" s="1"/>
      <c r="K7" s="1"/>
      <c r="L7" s="1"/>
      <c r="M7" s="1"/>
    </row>
    <row r="8" spans="1:13" ht="19.5" customHeight="1" x14ac:dyDescent="0.35">
      <c r="A8" s="1"/>
      <c r="B8" s="152" t="s">
        <v>389</v>
      </c>
      <c r="C8" s="225">
        <v>3</v>
      </c>
      <c r="D8" s="225">
        <v>3</v>
      </c>
      <c r="E8" s="225">
        <v>3</v>
      </c>
      <c r="F8" s="225">
        <v>3</v>
      </c>
      <c r="G8" s="225">
        <f t="shared" si="0"/>
        <v>12</v>
      </c>
      <c r="H8" s="1"/>
      <c r="I8" s="1"/>
      <c r="J8" s="1"/>
      <c r="K8" s="1"/>
      <c r="L8" s="1"/>
      <c r="M8" s="1"/>
    </row>
    <row r="9" spans="1:13" ht="19.5" customHeight="1" x14ac:dyDescent="0.35">
      <c r="A9" s="1"/>
      <c r="B9" s="226" t="s">
        <v>390</v>
      </c>
      <c r="C9" s="227">
        <v>69</v>
      </c>
      <c r="D9" s="227">
        <v>89</v>
      </c>
      <c r="E9" s="227">
        <v>119</v>
      </c>
      <c r="F9" s="227">
        <v>159</v>
      </c>
      <c r="G9" s="227">
        <f t="shared" si="0"/>
        <v>436</v>
      </c>
      <c r="H9" s="1"/>
      <c r="I9" s="1"/>
      <c r="J9" s="1"/>
      <c r="K9" s="1"/>
      <c r="L9" s="1"/>
      <c r="M9" s="1"/>
    </row>
    <row r="10" spans="1:13" ht="19.5" customHeight="1" x14ac:dyDescent="0.35">
      <c r="A10" s="1"/>
      <c r="B10" s="152" t="s">
        <v>391</v>
      </c>
      <c r="C10" s="225">
        <v>-5</v>
      </c>
      <c r="D10" s="225">
        <v>-8</v>
      </c>
      <c r="E10" s="225">
        <v>-4</v>
      </c>
      <c r="F10" s="225">
        <v>-12</v>
      </c>
      <c r="G10" s="225">
        <f t="shared" si="0"/>
        <v>-29</v>
      </c>
      <c r="H10" s="1"/>
      <c r="I10" s="1"/>
      <c r="J10" s="1"/>
      <c r="K10" s="1"/>
      <c r="L10" s="1"/>
      <c r="M10" s="1"/>
    </row>
    <row r="11" spans="1:13" ht="19.5" customHeight="1" x14ac:dyDescent="0.35">
      <c r="A11" s="1"/>
      <c r="B11" s="150" t="s">
        <v>392</v>
      </c>
      <c r="C11" s="224">
        <v>-2</v>
      </c>
      <c r="D11" s="224">
        <v>-1</v>
      </c>
      <c r="E11" s="224">
        <v>-3</v>
      </c>
      <c r="F11" s="224">
        <v>-2</v>
      </c>
      <c r="G11" s="224">
        <f t="shared" si="0"/>
        <v>-8</v>
      </c>
      <c r="H11" s="1"/>
      <c r="I11" s="1"/>
      <c r="J11" s="1"/>
      <c r="K11" s="1"/>
      <c r="L11" s="1"/>
      <c r="M11" s="1"/>
    </row>
    <row r="12" spans="1:13" ht="19.5" customHeight="1" x14ac:dyDescent="0.35">
      <c r="A12" s="1"/>
      <c r="B12" s="152" t="s">
        <v>393</v>
      </c>
      <c r="C12" s="225">
        <v>8</v>
      </c>
      <c r="D12" s="225">
        <v>5</v>
      </c>
      <c r="E12" s="225">
        <v>11</v>
      </c>
      <c r="F12" s="225">
        <v>9</v>
      </c>
      <c r="G12" s="225">
        <f t="shared" si="0"/>
        <v>33</v>
      </c>
      <c r="H12" s="1"/>
      <c r="I12" s="1"/>
      <c r="J12" s="1"/>
      <c r="K12" s="1"/>
      <c r="L12" s="1"/>
      <c r="M12" s="1"/>
    </row>
    <row r="13" spans="1:13" ht="19.5" customHeight="1" x14ac:dyDescent="0.35">
      <c r="A13" s="1"/>
      <c r="B13" s="150" t="s">
        <v>394</v>
      </c>
      <c r="C13" s="224">
        <v>4</v>
      </c>
      <c r="D13" s="224">
        <v>6</v>
      </c>
      <c r="E13" s="224">
        <v>3</v>
      </c>
      <c r="F13" s="224">
        <v>8</v>
      </c>
      <c r="G13" s="224">
        <f t="shared" si="0"/>
        <v>21</v>
      </c>
      <c r="H13" s="1"/>
      <c r="I13" s="1"/>
      <c r="J13" s="1"/>
      <c r="K13" s="1"/>
      <c r="L13" s="1"/>
      <c r="M13" s="1"/>
    </row>
    <row r="14" spans="1:13" ht="19.5" customHeight="1" x14ac:dyDescent="0.35">
      <c r="A14" s="1"/>
      <c r="B14" s="228" t="s">
        <v>111</v>
      </c>
      <c r="C14" s="229">
        <v>74</v>
      </c>
      <c r="D14" s="229">
        <v>91</v>
      </c>
      <c r="E14" s="229">
        <v>126</v>
      </c>
      <c r="F14" s="229">
        <v>162</v>
      </c>
      <c r="G14" s="229">
        <f t="shared" si="0"/>
        <v>453</v>
      </c>
      <c r="H14" s="1"/>
      <c r="I14" s="1"/>
      <c r="J14" s="1"/>
      <c r="K14" s="1"/>
      <c r="L14" s="1"/>
      <c r="M14" s="1"/>
    </row>
    <row r="15" spans="1:13" ht="19.5" customHeight="1" x14ac:dyDescent="0.35">
      <c r="A15" s="1"/>
      <c r="B15" s="150" t="s">
        <v>395</v>
      </c>
      <c r="C15" s="230">
        <f>-'🏗️ Capital Plan'!C18/4</f>
        <v>-81675</v>
      </c>
      <c r="D15" s="230">
        <f>-'🏗️ Capital Plan'!C18/4</f>
        <v>-81675</v>
      </c>
      <c r="E15" s="230">
        <f>-'🏗️ Capital Plan'!C18/4</f>
        <v>-81675</v>
      </c>
      <c r="F15" s="230">
        <f>-'🏗️ Capital Plan'!C18/4</f>
        <v>-81675</v>
      </c>
      <c r="G15" s="224">
        <f t="shared" si="0"/>
        <v>-326700</v>
      </c>
      <c r="H15" s="1"/>
      <c r="I15" s="1"/>
      <c r="J15" s="1"/>
      <c r="K15" s="1"/>
      <c r="L15" s="1"/>
      <c r="M15" s="1"/>
    </row>
    <row r="16" spans="1:13" ht="19.5" customHeight="1" x14ac:dyDescent="0.35">
      <c r="A16" s="1"/>
      <c r="B16" s="152" t="s">
        <v>396</v>
      </c>
      <c r="C16" s="225">
        <v>0</v>
      </c>
      <c r="D16" s="225">
        <v>0</v>
      </c>
      <c r="E16" s="225">
        <v>0</v>
      </c>
      <c r="F16" s="225">
        <v>0</v>
      </c>
      <c r="G16" s="225">
        <f t="shared" si="0"/>
        <v>0</v>
      </c>
      <c r="H16" s="1"/>
      <c r="I16" s="1"/>
      <c r="J16" s="1"/>
      <c r="K16" s="1"/>
      <c r="L16" s="1"/>
      <c r="M16" s="1"/>
    </row>
    <row r="17" spans="1:13" ht="19.5" customHeight="1" x14ac:dyDescent="0.35">
      <c r="A17" s="1"/>
      <c r="B17" s="231" t="s">
        <v>397</v>
      </c>
      <c r="C17" s="232">
        <v>-22</v>
      </c>
      <c r="D17" s="232">
        <v>-28</v>
      </c>
      <c r="E17" s="232">
        <v>-35</v>
      </c>
      <c r="F17" s="232">
        <v>-42</v>
      </c>
      <c r="G17" s="232">
        <f t="shared" si="0"/>
        <v>-127</v>
      </c>
      <c r="H17" s="1"/>
      <c r="I17" s="1"/>
      <c r="J17" s="1"/>
      <c r="K17" s="1"/>
      <c r="L17" s="1"/>
      <c r="M17" s="1"/>
    </row>
    <row r="18" spans="1:13" ht="19.5" customHeight="1" x14ac:dyDescent="0.35">
      <c r="A18" s="1"/>
      <c r="B18" s="152" t="s">
        <v>398</v>
      </c>
      <c r="C18" s="233">
        <f>-'💳 Amortization'!F11</f>
        <v>-12641.360469859274</v>
      </c>
      <c r="D18" s="233">
        <f>-'💳 Amortization'!F11</f>
        <v>-12641.360469859274</v>
      </c>
      <c r="E18" s="233">
        <f>-'💳 Amortization'!F11</f>
        <v>-12641.360469859274</v>
      </c>
      <c r="F18" s="233">
        <f>-'💳 Amortization'!F11</f>
        <v>-12641.360469859274</v>
      </c>
      <c r="G18" s="225">
        <f t="shared" si="0"/>
        <v>-50565.441879437094</v>
      </c>
      <c r="H18" s="1"/>
      <c r="I18" s="1"/>
      <c r="J18" s="1"/>
      <c r="K18" s="1"/>
      <c r="L18" s="1"/>
      <c r="M18" s="1"/>
    </row>
    <row r="19" spans="1:13" ht="19.5" customHeight="1" x14ac:dyDescent="0.35">
      <c r="A19" s="1"/>
      <c r="B19" s="150" t="s">
        <v>399</v>
      </c>
      <c r="C19" s="224">
        <v>-10</v>
      </c>
      <c r="D19" s="224">
        <v>-15</v>
      </c>
      <c r="E19" s="224">
        <v>-20</v>
      </c>
      <c r="F19" s="224">
        <v>-25</v>
      </c>
      <c r="G19" s="224">
        <f t="shared" si="0"/>
        <v>-70</v>
      </c>
      <c r="H19" s="1"/>
      <c r="I19" s="1"/>
      <c r="J19" s="1"/>
      <c r="K19" s="1"/>
      <c r="L19" s="1"/>
      <c r="M19" s="1"/>
    </row>
    <row r="20" spans="1:13" ht="19.5" customHeight="1" x14ac:dyDescent="0.35">
      <c r="A20" s="1"/>
      <c r="B20" s="231" t="s">
        <v>400</v>
      </c>
      <c r="C20" s="232">
        <v>-48</v>
      </c>
      <c r="D20" s="232">
        <v>-53</v>
      </c>
      <c r="E20" s="232">
        <v>-58</v>
      </c>
      <c r="F20" s="232">
        <v>-63</v>
      </c>
      <c r="G20" s="232">
        <f t="shared" si="0"/>
        <v>-222</v>
      </c>
      <c r="H20" s="1"/>
      <c r="I20" s="1"/>
      <c r="J20" s="1"/>
      <c r="K20" s="1"/>
      <c r="L20" s="1"/>
      <c r="M20" s="1"/>
    </row>
    <row r="21" spans="1:13" ht="19.5" customHeight="1" x14ac:dyDescent="0.35">
      <c r="A21" s="1"/>
      <c r="B21" s="222" t="s">
        <v>401</v>
      </c>
      <c r="C21" s="223">
        <v>4</v>
      </c>
      <c r="D21" s="223">
        <v>10</v>
      </c>
      <c r="E21" s="223">
        <v>33</v>
      </c>
      <c r="F21" s="223">
        <v>57</v>
      </c>
      <c r="G21" s="223">
        <f t="shared" si="0"/>
        <v>104</v>
      </c>
      <c r="H21" s="1"/>
      <c r="I21" s="1"/>
      <c r="J21" s="1"/>
      <c r="K21" s="1"/>
      <c r="L21" s="1"/>
      <c r="M21" s="1"/>
    </row>
    <row r="22" spans="1:13" ht="19.5" customHeight="1" x14ac:dyDescent="0.35">
      <c r="A22" s="1"/>
      <c r="B22" s="228" t="s">
        <v>402</v>
      </c>
      <c r="C22" s="229">
        <v>158</v>
      </c>
      <c r="D22" s="229">
        <v>168</v>
      </c>
      <c r="E22" s="229">
        <v>201</v>
      </c>
      <c r="F22" s="229">
        <v>258</v>
      </c>
      <c r="G22" s="229">
        <f t="shared" si="0"/>
        <v>785</v>
      </c>
      <c r="H22" s="1"/>
      <c r="I22" s="1"/>
      <c r="J22" s="1"/>
      <c r="K22" s="1"/>
      <c r="L22" s="1"/>
      <c r="M22" s="1"/>
    </row>
    <row r="23" spans="1:13" ht="14.2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4.2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4.2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4.2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4.2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4.2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4.2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4.2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4.2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4.2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4.2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4.2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4.2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4.2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4.2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4.2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4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4.2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4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4.2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4.2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4.2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4.2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4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4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4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4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4.2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4.2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4.2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4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4.2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4.2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4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4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4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4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</sheetData>
  <mergeCells count="1"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3B82F6"/>
  </sheetPr>
  <dimension ref="A1:O124"/>
  <sheetViews>
    <sheetView showGridLines="0" topLeftCell="A16" zoomScaleNormal="100" workbookViewId="0">
      <selection activeCell="E2" sqref="E2"/>
    </sheetView>
  </sheetViews>
  <sheetFormatPr defaultColWidth="8.6328125" defaultRowHeight="14.5" x14ac:dyDescent="0.35"/>
  <cols>
    <col min="1" max="1" width="2" customWidth="1"/>
    <col min="2" max="2" width="30" customWidth="1"/>
    <col min="3" max="3" width="55" customWidth="1"/>
    <col min="4" max="4" width="58" customWidth="1"/>
    <col min="5" max="15" width="30" customWidth="1"/>
  </cols>
  <sheetData>
    <row r="1" spans="1:15" ht="7.5" customHeight="1" x14ac:dyDescent="0.35">
      <c r="A1" s="234"/>
      <c r="B1" s="234"/>
      <c r="C1" s="234"/>
      <c r="D1" s="234"/>
      <c r="E1" s="235"/>
      <c r="F1" s="235"/>
      <c r="G1" s="235"/>
      <c r="H1" s="235"/>
      <c r="I1" s="235"/>
      <c r="J1" s="235"/>
      <c r="K1" s="235"/>
      <c r="L1" s="234"/>
      <c r="M1" s="234"/>
      <c r="N1" s="234"/>
      <c r="O1" s="234"/>
    </row>
    <row r="2" spans="1:15" ht="21.75" customHeight="1" x14ac:dyDescent="0.35">
      <c r="A2" s="234"/>
      <c r="B2" s="236" t="s">
        <v>0</v>
      </c>
      <c r="C2" s="235"/>
      <c r="D2" s="235"/>
      <c r="E2" s="235"/>
      <c r="F2" s="235"/>
      <c r="G2" s="235"/>
      <c r="H2" s="235"/>
      <c r="I2" s="235"/>
      <c r="J2" s="235"/>
      <c r="K2" s="235"/>
      <c r="L2" s="234"/>
      <c r="M2" s="234"/>
      <c r="N2" s="234"/>
      <c r="O2" s="234"/>
    </row>
    <row r="3" spans="1:15" ht="15.75" customHeight="1" x14ac:dyDescent="0.35">
      <c r="A3" s="234"/>
      <c r="B3" s="237" t="s">
        <v>1</v>
      </c>
      <c r="C3" s="237" t="s">
        <v>2</v>
      </c>
      <c r="D3" s="237" t="s">
        <v>3</v>
      </c>
      <c r="E3" s="235"/>
      <c r="F3" s="235"/>
      <c r="G3" s="235"/>
      <c r="H3" s="235"/>
      <c r="I3" s="235"/>
      <c r="J3" s="235"/>
      <c r="K3" s="235"/>
      <c r="L3" s="234"/>
      <c r="M3" s="234"/>
      <c r="N3" s="234"/>
      <c r="O3" s="234"/>
    </row>
    <row r="4" spans="1:15" ht="15.75" customHeight="1" x14ac:dyDescent="0.35">
      <c r="A4" s="234"/>
      <c r="B4" s="238" t="s">
        <v>4</v>
      </c>
      <c r="C4" s="239">
        <f>'⚙️ NOI Engine'!J18</f>
        <v>180249.60000000001</v>
      </c>
      <c r="D4" s="240">
        <f>SUM(G59:G70)</f>
        <v>0</v>
      </c>
      <c r="E4" s="235"/>
      <c r="F4" s="235"/>
      <c r="G4" s="235"/>
      <c r="H4" s="235"/>
      <c r="I4" s="235"/>
      <c r="J4" s="235"/>
      <c r="K4" s="235"/>
      <c r="L4" s="234"/>
      <c r="M4" s="234"/>
      <c r="N4" s="234"/>
      <c r="O4" s="234"/>
    </row>
    <row r="5" spans="1:15" ht="15.75" customHeight="1" x14ac:dyDescent="0.35">
      <c r="A5" s="234"/>
      <c r="B5" s="241" t="s">
        <v>5</v>
      </c>
      <c r="C5" s="242">
        <f>IFERROR('⚙️ NOI Engine'!J18/ABS('⚙️ NOI Engine'!J19),0)</f>
        <v>1.1858214257519539</v>
      </c>
      <c r="D5" s="243">
        <v>1.25</v>
      </c>
      <c r="E5" s="235"/>
      <c r="F5" s="235"/>
      <c r="G5" s="235"/>
      <c r="H5" s="235"/>
      <c r="I5" s="235"/>
      <c r="J5" s="235"/>
      <c r="K5" s="235"/>
      <c r="L5" s="234"/>
      <c r="M5" s="234"/>
      <c r="N5" s="234"/>
      <c r="O5" s="234"/>
    </row>
    <row r="6" spans="1:15" ht="15.75" customHeight="1" x14ac:dyDescent="0.35">
      <c r="A6" s="234"/>
      <c r="B6" s="238" t="s">
        <v>6</v>
      </c>
      <c r="C6" s="244">
        <f>'🏢 Property Metrics'!D12</f>
        <v>0.96084337349397586</v>
      </c>
      <c r="D6" s="245">
        <v>0.95</v>
      </c>
      <c r="E6" s="235"/>
      <c r="F6" s="235"/>
      <c r="G6" s="235"/>
      <c r="H6" s="235"/>
      <c r="I6" s="235"/>
      <c r="J6" s="235"/>
      <c r="K6" s="235"/>
      <c r="L6" s="234"/>
      <c r="M6" s="234"/>
      <c r="N6" s="234"/>
      <c r="O6" s="234"/>
    </row>
    <row r="7" spans="1:15" ht="15.75" customHeight="1" x14ac:dyDescent="0.35">
      <c r="A7" s="234"/>
      <c r="B7" s="241" t="s">
        <v>7</v>
      </c>
      <c r="C7" s="246">
        <f>'⚙️ NOI Engine'!J20</f>
        <v>28245.600000000006</v>
      </c>
      <c r="D7" s="247">
        <v>158000</v>
      </c>
      <c r="E7" s="235"/>
      <c r="F7" s="235"/>
      <c r="G7" s="235"/>
      <c r="H7" s="235"/>
      <c r="I7" s="235"/>
      <c r="J7" s="235"/>
      <c r="K7" s="235"/>
      <c r="L7" s="234"/>
      <c r="M7" s="234"/>
      <c r="N7" s="234"/>
      <c r="O7" s="234"/>
    </row>
    <row r="8" spans="1:15" ht="15.75" customHeight="1" x14ac:dyDescent="0.35">
      <c r="A8" s="234"/>
      <c r="B8" s="238" t="s">
        <v>8</v>
      </c>
      <c r="C8" s="248">
        <f>'⚙️ NOI Engine'!J6</f>
        <v>297415</v>
      </c>
      <c r="D8" s="249">
        <v>280000</v>
      </c>
      <c r="E8" s="235"/>
      <c r="F8" s="235"/>
      <c r="G8" s="235"/>
      <c r="H8" s="235"/>
      <c r="I8" s="235"/>
      <c r="J8" s="235"/>
      <c r="K8" s="235"/>
      <c r="L8" s="234"/>
      <c r="M8" s="234"/>
      <c r="N8" s="234"/>
      <c r="O8" s="234"/>
    </row>
    <row r="9" spans="1:15" ht="15.75" customHeight="1" x14ac:dyDescent="0.35">
      <c r="A9" s="234"/>
      <c r="B9" s="241" t="s">
        <v>9</v>
      </c>
      <c r="C9" s="250">
        <f>'💵 Operating Cash Flow'!F6</f>
        <v>138</v>
      </c>
      <c r="D9" s="251">
        <v>0.18</v>
      </c>
      <c r="E9" s="235"/>
      <c r="F9" s="235"/>
      <c r="G9" s="235"/>
      <c r="H9" s="235"/>
      <c r="I9" s="235"/>
      <c r="J9" s="235"/>
      <c r="K9" s="235"/>
      <c r="L9" s="234"/>
      <c r="M9" s="234"/>
      <c r="N9" s="234"/>
      <c r="O9" s="234"/>
    </row>
    <row r="10" spans="1:15" ht="19.5" customHeight="1" x14ac:dyDescent="0.35">
      <c r="A10" s="23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4"/>
      <c r="M10" s="234"/>
      <c r="N10" s="234"/>
      <c r="O10" s="234"/>
    </row>
    <row r="11" spans="1:15" ht="21.75" customHeight="1" x14ac:dyDescent="0.35">
      <c r="A11" s="234"/>
      <c r="B11" s="252" t="s">
        <v>10</v>
      </c>
      <c r="C11" s="235"/>
      <c r="D11" s="235"/>
      <c r="E11" s="235"/>
      <c r="F11" s="235"/>
      <c r="G11" s="235"/>
      <c r="H11" s="235"/>
      <c r="I11" s="235"/>
      <c r="J11" s="235"/>
      <c r="K11" s="235"/>
      <c r="L11" s="234"/>
      <c r="M11" s="234"/>
      <c r="N11" s="234"/>
      <c r="O11" s="234"/>
    </row>
    <row r="12" spans="1:15" ht="15.75" customHeight="1" x14ac:dyDescent="0.35">
      <c r="A12" s="234"/>
      <c r="B12" s="237" t="s">
        <v>11</v>
      </c>
      <c r="C12" s="237" t="s">
        <v>12</v>
      </c>
      <c r="D12" s="237" t="s">
        <v>13</v>
      </c>
      <c r="E12" s="237" t="s">
        <v>14</v>
      </c>
      <c r="F12" s="253" t="s">
        <v>15</v>
      </c>
      <c r="G12" s="237" t="s">
        <v>4</v>
      </c>
      <c r="H12" s="237" t="s">
        <v>16</v>
      </c>
      <c r="I12" s="237" t="s">
        <v>7</v>
      </c>
      <c r="J12" s="237" t="s">
        <v>6</v>
      </c>
      <c r="K12" s="237" t="s">
        <v>5</v>
      </c>
      <c r="L12" s="234"/>
      <c r="M12" s="234"/>
      <c r="N12" s="234"/>
      <c r="O12" s="234"/>
    </row>
    <row r="13" spans="1:15" ht="15" customHeight="1" x14ac:dyDescent="0.35">
      <c r="A13" s="234"/>
      <c r="B13" s="254" t="s">
        <v>17</v>
      </c>
      <c r="C13" s="255">
        <v>24583</v>
      </c>
      <c r="D13" s="256">
        <v>1425</v>
      </c>
      <c r="E13" s="255">
        <f t="shared" ref="E13:E24" si="0">C13-D13</f>
        <v>23158</v>
      </c>
      <c r="F13" s="257">
        <f>E13*'📋 Assumptions'!C15</f>
        <v>8336.8799999999992</v>
      </c>
      <c r="G13" s="258">
        <f t="shared" ref="G13:G24" si="1">E13-F13</f>
        <v>14821.12</v>
      </c>
      <c r="H13" s="249">
        <v>12667</v>
      </c>
      <c r="I13" s="259">
        <f t="shared" ref="I13:I24" si="2">G13-H13</f>
        <v>2154.1200000000008</v>
      </c>
      <c r="J13" s="260">
        <f t="shared" ref="J13:J24" si="3">IFERROR(1-(D13/C13),0)</f>
        <v>0.94203311231338727</v>
      </c>
      <c r="K13" s="261">
        <f t="shared" ref="K13:K24" si="4">IFERROR(G13/H13,0)</f>
        <v>1.1700576300623668</v>
      </c>
      <c r="L13" s="234"/>
      <c r="M13" s="234"/>
      <c r="N13" s="234"/>
      <c r="O13" s="234"/>
    </row>
    <row r="14" spans="1:15" ht="15" customHeight="1" x14ac:dyDescent="0.35">
      <c r="A14" s="234"/>
      <c r="B14" s="262" t="s">
        <v>18</v>
      </c>
      <c r="C14" s="263">
        <v>24100</v>
      </c>
      <c r="D14" s="264">
        <v>1800</v>
      </c>
      <c r="E14" s="263">
        <f t="shared" si="0"/>
        <v>22300</v>
      </c>
      <c r="F14" s="265">
        <f>E14*'📋 Assumptions'!C15</f>
        <v>8028</v>
      </c>
      <c r="G14" s="266">
        <f t="shared" si="1"/>
        <v>14272</v>
      </c>
      <c r="H14" s="247">
        <v>12667</v>
      </c>
      <c r="I14" s="267">
        <f t="shared" si="2"/>
        <v>1605</v>
      </c>
      <c r="J14" s="268">
        <f t="shared" si="3"/>
        <v>0.92531120331950212</v>
      </c>
      <c r="K14" s="269">
        <f t="shared" si="4"/>
        <v>1.1267071919160021</v>
      </c>
      <c r="L14" s="234"/>
      <c r="M14" s="234"/>
      <c r="N14" s="234"/>
      <c r="O14" s="234"/>
    </row>
    <row r="15" spans="1:15" ht="15" customHeight="1" x14ac:dyDescent="0.35">
      <c r="A15" s="234"/>
      <c r="B15" s="254" t="s">
        <v>19</v>
      </c>
      <c r="C15" s="255">
        <v>24583</v>
      </c>
      <c r="D15" s="256">
        <v>1425</v>
      </c>
      <c r="E15" s="255">
        <f t="shared" si="0"/>
        <v>23158</v>
      </c>
      <c r="F15" s="257">
        <f>E15*'📋 Assumptions'!C15</f>
        <v>8336.8799999999992</v>
      </c>
      <c r="G15" s="258">
        <f t="shared" si="1"/>
        <v>14821.12</v>
      </c>
      <c r="H15" s="249">
        <v>12667</v>
      </c>
      <c r="I15" s="259">
        <f t="shared" si="2"/>
        <v>2154.1200000000008</v>
      </c>
      <c r="J15" s="260">
        <f t="shared" si="3"/>
        <v>0.94203311231338727</v>
      </c>
      <c r="K15" s="261">
        <f t="shared" si="4"/>
        <v>1.1700576300623668</v>
      </c>
      <c r="L15" s="234"/>
      <c r="M15" s="234"/>
      <c r="N15" s="234"/>
      <c r="O15" s="234"/>
    </row>
    <row r="16" spans="1:15" ht="15" customHeight="1" x14ac:dyDescent="0.35">
      <c r="A16" s="234"/>
      <c r="B16" s="262" t="s">
        <v>20</v>
      </c>
      <c r="C16" s="263">
        <v>24583</v>
      </c>
      <c r="D16" s="264">
        <v>1425</v>
      </c>
      <c r="E16" s="263">
        <f t="shared" si="0"/>
        <v>23158</v>
      </c>
      <c r="F16" s="265">
        <f>E16*'📋 Assumptions'!C15</f>
        <v>8336.8799999999992</v>
      </c>
      <c r="G16" s="266">
        <f t="shared" si="1"/>
        <v>14821.12</v>
      </c>
      <c r="H16" s="247">
        <v>12667</v>
      </c>
      <c r="I16" s="267">
        <f t="shared" si="2"/>
        <v>2154.1200000000008</v>
      </c>
      <c r="J16" s="268">
        <f t="shared" si="3"/>
        <v>0.94203311231338727</v>
      </c>
      <c r="K16" s="269">
        <f t="shared" si="4"/>
        <v>1.1700576300623668</v>
      </c>
      <c r="L16" s="234"/>
      <c r="M16" s="234"/>
      <c r="N16" s="234"/>
      <c r="O16" s="234"/>
    </row>
    <row r="17" spans="1:15" ht="15" customHeight="1" x14ac:dyDescent="0.35">
      <c r="A17" s="234"/>
      <c r="B17" s="254" t="s">
        <v>21</v>
      </c>
      <c r="C17" s="255">
        <v>24900</v>
      </c>
      <c r="D17" s="256">
        <v>1200</v>
      </c>
      <c r="E17" s="255">
        <f t="shared" si="0"/>
        <v>23700</v>
      </c>
      <c r="F17" s="257">
        <f>E17*'📋 Assumptions'!C15</f>
        <v>8532</v>
      </c>
      <c r="G17" s="258">
        <f t="shared" si="1"/>
        <v>15168</v>
      </c>
      <c r="H17" s="249">
        <v>12667</v>
      </c>
      <c r="I17" s="259">
        <f t="shared" si="2"/>
        <v>2501</v>
      </c>
      <c r="J17" s="260">
        <f t="shared" si="3"/>
        <v>0.95180722891566261</v>
      </c>
      <c r="K17" s="261">
        <f t="shared" si="4"/>
        <v>1.197442172574406</v>
      </c>
      <c r="L17" s="234"/>
      <c r="M17" s="234"/>
      <c r="N17" s="234"/>
      <c r="O17" s="234"/>
    </row>
    <row r="18" spans="1:15" ht="15" customHeight="1" x14ac:dyDescent="0.35">
      <c r="A18" s="234"/>
      <c r="B18" s="262" t="s">
        <v>22</v>
      </c>
      <c r="C18" s="263">
        <v>25200</v>
      </c>
      <c r="D18" s="264">
        <v>1000</v>
      </c>
      <c r="E18" s="263">
        <f t="shared" si="0"/>
        <v>24200</v>
      </c>
      <c r="F18" s="265">
        <f>E18*'📋 Assumptions'!C15</f>
        <v>8712</v>
      </c>
      <c r="G18" s="266">
        <f t="shared" si="1"/>
        <v>15488</v>
      </c>
      <c r="H18" s="247">
        <v>12667</v>
      </c>
      <c r="I18" s="267">
        <f t="shared" si="2"/>
        <v>2821</v>
      </c>
      <c r="J18" s="268">
        <f t="shared" si="3"/>
        <v>0.96031746031746035</v>
      </c>
      <c r="K18" s="269">
        <f t="shared" si="4"/>
        <v>1.2227046656666929</v>
      </c>
      <c r="L18" s="234"/>
      <c r="M18" s="234"/>
      <c r="N18" s="234"/>
      <c r="O18" s="234"/>
    </row>
    <row r="19" spans="1:15" ht="15" customHeight="1" x14ac:dyDescent="0.35">
      <c r="A19" s="234"/>
      <c r="B19" s="254" t="s">
        <v>23</v>
      </c>
      <c r="C19" s="255">
        <v>25200</v>
      </c>
      <c r="D19" s="256">
        <v>1000</v>
      </c>
      <c r="E19" s="255">
        <f t="shared" si="0"/>
        <v>24200</v>
      </c>
      <c r="F19" s="257">
        <f>E19*'📋 Assumptions'!C15</f>
        <v>8712</v>
      </c>
      <c r="G19" s="258">
        <f t="shared" si="1"/>
        <v>15488</v>
      </c>
      <c r="H19" s="249">
        <v>12667</v>
      </c>
      <c r="I19" s="259">
        <f t="shared" si="2"/>
        <v>2821</v>
      </c>
      <c r="J19" s="260">
        <f t="shared" si="3"/>
        <v>0.96031746031746035</v>
      </c>
      <c r="K19" s="261">
        <f t="shared" si="4"/>
        <v>1.2227046656666929</v>
      </c>
      <c r="L19" s="234"/>
      <c r="M19" s="234"/>
      <c r="N19" s="234"/>
      <c r="O19" s="234"/>
    </row>
    <row r="20" spans="1:15" ht="15" customHeight="1" x14ac:dyDescent="0.35">
      <c r="A20" s="234"/>
      <c r="B20" s="262" t="s">
        <v>24</v>
      </c>
      <c r="C20" s="263">
        <v>25200</v>
      </c>
      <c r="D20" s="264">
        <v>1000</v>
      </c>
      <c r="E20" s="263">
        <f t="shared" si="0"/>
        <v>24200</v>
      </c>
      <c r="F20" s="265">
        <f>E20*'📋 Assumptions'!C15</f>
        <v>8712</v>
      </c>
      <c r="G20" s="266">
        <f t="shared" si="1"/>
        <v>15488</v>
      </c>
      <c r="H20" s="247">
        <v>12667</v>
      </c>
      <c r="I20" s="267">
        <f t="shared" si="2"/>
        <v>2821</v>
      </c>
      <c r="J20" s="268">
        <f t="shared" si="3"/>
        <v>0.96031746031746035</v>
      </c>
      <c r="K20" s="269">
        <f t="shared" si="4"/>
        <v>1.2227046656666929</v>
      </c>
      <c r="L20" s="234"/>
      <c r="M20" s="234"/>
      <c r="N20" s="234"/>
      <c r="O20" s="234"/>
    </row>
    <row r="21" spans="1:15" ht="15" customHeight="1" x14ac:dyDescent="0.35">
      <c r="A21" s="234"/>
      <c r="B21" s="254" t="s">
        <v>25</v>
      </c>
      <c r="C21" s="255">
        <v>25000</v>
      </c>
      <c r="D21" s="256">
        <v>1250</v>
      </c>
      <c r="E21" s="255">
        <f t="shared" si="0"/>
        <v>23750</v>
      </c>
      <c r="F21" s="257">
        <f>E21*'📋 Assumptions'!C15</f>
        <v>8550</v>
      </c>
      <c r="G21" s="258">
        <f t="shared" si="1"/>
        <v>15200</v>
      </c>
      <c r="H21" s="249">
        <v>12667</v>
      </c>
      <c r="I21" s="259">
        <f t="shared" si="2"/>
        <v>2533</v>
      </c>
      <c r="J21" s="260">
        <f t="shared" si="3"/>
        <v>0.95</v>
      </c>
      <c r="K21" s="261">
        <f t="shared" si="4"/>
        <v>1.1999684218836346</v>
      </c>
      <c r="L21" s="234"/>
      <c r="M21" s="234"/>
      <c r="N21" s="234"/>
      <c r="O21" s="234"/>
    </row>
    <row r="22" spans="1:15" ht="15" customHeight="1" x14ac:dyDescent="0.35">
      <c r="A22" s="234"/>
      <c r="B22" s="262" t="s">
        <v>26</v>
      </c>
      <c r="C22" s="263">
        <v>24900</v>
      </c>
      <c r="D22" s="264">
        <v>1400</v>
      </c>
      <c r="E22" s="263">
        <f t="shared" si="0"/>
        <v>23500</v>
      </c>
      <c r="F22" s="265">
        <f>E22*'📋 Assumptions'!C15</f>
        <v>8460</v>
      </c>
      <c r="G22" s="266">
        <f t="shared" si="1"/>
        <v>15040</v>
      </c>
      <c r="H22" s="247">
        <v>12667</v>
      </c>
      <c r="I22" s="267">
        <f t="shared" si="2"/>
        <v>2373</v>
      </c>
      <c r="J22" s="268">
        <f t="shared" si="3"/>
        <v>0.94377510040160639</v>
      </c>
      <c r="K22" s="269">
        <f t="shared" si="4"/>
        <v>1.1873371753374911</v>
      </c>
      <c r="L22" s="234"/>
      <c r="M22" s="234"/>
      <c r="N22" s="234"/>
      <c r="O22" s="234"/>
    </row>
    <row r="23" spans="1:15" ht="15" customHeight="1" x14ac:dyDescent="0.35">
      <c r="A23" s="234"/>
      <c r="B23" s="254" t="s">
        <v>27</v>
      </c>
      <c r="C23" s="255">
        <v>24583</v>
      </c>
      <c r="D23" s="256">
        <v>1425</v>
      </c>
      <c r="E23" s="255">
        <f t="shared" si="0"/>
        <v>23158</v>
      </c>
      <c r="F23" s="257">
        <f>E23*'📋 Assumptions'!C15</f>
        <v>8336.8799999999992</v>
      </c>
      <c r="G23" s="258">
        <f t="shared" si="1"/>
        <v>14821.12</v>
      </c>
      <c r="H23" s="249">
        <v>12667</v>
      </c>
      <c r="I23" s="259">
        <f t="shared" si="2"/>
        <v>2154.1200000000008</v>
      </c>
      <c r="J23" s="260">
        <f t="shared" si="3"/>
        <v>0.94203311231338727</v>
      </c>
      <c r="K23" s="261">
        <f t="shared" si="4"/>
        <v>1.1700576300623668</v>
      </c>
      <c r="L23" s="234"/>
      <c r="M23" s="234"/>
      <c r="N23" s="234"/>
      <c r="O23" s="234"/>
    </row>
    <row r="24" spans="1:15" ht="15" customHeight="1" x14ac:dyDescent="0.35">
      <c r="A24" s="234"/>
      <c r="B24" s="262" t="s">
        <v>28</v>
      </c>
      <c r="C24" s="263">
        <v>24583</v>
      </c>
      <c r="D24" s="264">
        <v>1425</v>
      </c>
      <c r="E24" s="263">
        <f t="shared" si="0"/>
        <v>23158</v>
      </c>
      <c r="F24" s="265">
        <f>E24*'📋 Assumptions'!C15</f>
        <v>8336.8799999999992</v>
      </c>
      <c r="G24" s="266">
        <f t="shared" si="1"/>
        <v>14821.12</v>
      </c>
      <c r="H24" s="247">
        <v>12667</v>
      </c>
      <c r="I24" s="267">
        <f t="shared" si="2"/>
        <v>2154.1200000000008</v>
      </c>
      <c r="J24" s="268">
        <f t="shared" si="3"/>
        <v>0.94203311231338727</v>
      </c>
      <c r="K24" s="269">
        <f t="shared" si="4"/>
        <v>1.1700576300623668</v>
      </c>
      <c r="L24" s="234"/>
      <c r="M24" s="234"/>
      <c r="N24" s="234"/>
      <c r="O24" s="234"/>
    </row>
    <row r="25" spans="1:15" ht="14.25" customHeight="1" x14ac:dyDescent="0.35">
      <c r="A25" s="234"/>
      <c r="B25" s="235"/>
      <c r="C25" s="235"/>
      <c r="D25" s="235"/>
      <c r="E25" s="235"/>
      <c r="F25" s="235"/>
      <c r="G25" s="235"/>
      <c r="H25" s="235"/>
      <c r="I25" s="235"/>
      <c r="J25" s="235"/>
      <c r="K25" s="235"/>
      <c r="L25" s="234"/>
      <c r="M25" s="234"/>
      <c r="N25" s="234"/>
      <c r="O25" s="234"/>
    </row>
    <row r="26" spans="1:15" ht="21.75" customHeight="1" x14ac:dyDescent="0.35">
      <c r="A26" s="234"/>
      <c r="B26" s="252" t="s">
        <v>29</v>
      </c>
      <c r="C26" s="235"/>
      <c r="D26" s="235"/>
      <c r="E26" s="235"/>
      <c r="F26" s="235"/>
      <c r="G26" s="235"/>
      <c r="H26" s="235"/>
      <c r="I26" s="235"/>
      <c r="J26" s="235"/>
      <c r="K26" s="235"/>
      <c r="L26" s="234"/>
      <c r="M26" s="234"/>
      <c r="N26" s="234"/>
      <c r="O26" s="234"/>
    </row>
    <row r="27" spans="1:15" ht="15.75" customHeight="1" x14ac:dyDescent="0.35">
      <c r="A27" s="234"/>
      <c r="B27" s="237" t="s">
        <v>11</v>
      </c>
      <c r="C27" s="237" t="s">
        <v>12</v>
      </c>
      <c r="D27" s="237" t="s">
        <v>13</v>
      </c>
      <c r="E27" s="237" t="s">
        <v>14</v>
      </c>
      <c r="F27" s="237" t="s">
        <v>30</v>
      </c>
      <c r="G27" s="237" t="s">
        <v>4</v>
      </c>
      <c r="H27" s="237" t="s">
        <v>16</v>
      </c>
      <c r="I27" s="237" t="s">
        <v>7</v>
      </c>
      <c r="J27" s="237" t="s">
        <v>6</v>
      </c>
      <c r="K27" s="237" t="s">
        <v>5</v>
      </c>
      <c r="L27" s="234"/>
      <c r="M27" s="234"/>
      <c r="N27" s="234"/>
      <c r="O27" s="234"/>
    </row>
    <row r="28" spans="1:15" ht="15" customHeight="1" x14ac:dyDescent="0.35">
      <c r="A28" s="234"/>
      <c r="B28" s="254" t="s">
        <v>17</v>
      </c>
      <c r="C28" s="270">
        <v>25000</v>
      </c>
      <c r="D28" s="271">
        <v>1000</v>
      </c>
      <c r="E28" s="270">
        <v>24000</v>
      </c>
      <c r="F28" s="272">
        <v>8640</v>
      </c>
      <c r="G28" s="273">
        <v>15360</v>
      </c>
      <c r="H28" s="274">
        <v>12667</v>
      </c>
      <c r="I28" s="275">
        <v>2693</v>
      </c>
      <c r="J28" s="260">
        <v>0.96</v>
      </c>
      <c r="K28" s="261">
        <v>1.21259966842978</v>
      </c>
      <c r="L28" s="234"/>
      <c r="M28" s="234"/>
      <c r="N28" s="234"/>
      <c r="O28" s="234"/>
    </row>
    <row r="29" spans="1:15" ht="15" customHeight="1" x14ac:dyDescent="0.35">
      <c r="A29" s="234"/>
      <c r="B29" s="262" t="s">
        <v>18</v>
      </c>
      <c r="C29" s="276">
        <v>25000</v>
      </c>
      <c r="D29" s="277">
        <v>1000</v>
      </c>
      <c r="E29" s="276">
        <v>24000</v>
      </c>
      <c r="F29" s="278">
        <v>8640</v>
      </c>
      <c r="G29" s="279">
        <v>15360</v>
      </c>
      <c r="H29" s="280">
        <v>12667</v>
      </c>
      <c r="I29" s="281">
        <v>2693</v>
      </c>
      <c r="J29" s="268">
        <v>0.96</v>
      </c>
      <c r="K29" s="269">
        <v>1.21259966842978</v>
      </c>
      <c r="L29" s="234"/>
      <c r="M29" s="234"/>
      <c r="N29" s="234"/>
      <c r="O29" s="234"/>
    </row>
    <row r="30" spans="1:15" ht="15" customHeight="1" x14ac:dyDescent="0.35">
      <c r="A30" s="234"/>
      <c r="B30" s="254" t="s">
        <v>19</v>
      </c>
      <c r="C30" s="270">
        <v>25000</v>
      </c>
      <c r="D30" s="271">
        <v>1000</v>
      </c>
      <c r="E30" s="270">
        <v>24000</v>
      </c>
      <c r="F30" s="272">
        <v>8640</v>
      </c>
      <c r="G30" s="273">
        <v>15360</v>
      </c>
      <c r="H30" s="274">
        <v>12667</v>
      </c>
      <c r="I30" s="275">
        <v>2693</v>
      </c>
      <c r="J30" s="260">
        <v>0.96</v>
      </c>
      <c r="K30" s="261">
        <v>1.21259966842978</v>
      </c>
      <c r="L30" s="234"/>
      <c r="M30" s="234"/>
      <c r="N30" s="234"/>
      <c r="O30" s="234"/>
    </row>
    <row r="31" spans="1:15" ht="15" customHeight="1" x14ac:dyDescent="0.35">
      <c r="A31" s="234"/>
      <c r="B31" s="262" t="s">
        <v>20</v>
      </c>
      <c r="C31" s="276">
        <v>25000</v>
      </c>
      <c r="D31" s="277">
        <v>1000</v>
      </c>
      <c r="E31" s="276">
        <v>24000</v>
      </c>
      <c r="F31" s="278">
        <v>8640</v>
      </c>
      <c r="G31" s="279">
        <v>15360</v>
      </c>
      <c r="H31" s="280">
        <v>12667</v>
      </c>
      <c r="I31" s="281">
        <v>2693</v>
      </c>
      <c r="J31" s="268">
        <v>0.96</v>
      </c>
      <c r="K31" s="269">
        <v>1.21259966842978</v>
      </c>
      <c r="L31" s="234"/>
      <c r="M31" s="234"/>
      <c r="N31" s="234"/>
      <c r="O31" s="234"/>
    </row>
    <row r="32" spans="1:15" ht="15" customHeight="1" x14ac:dyDescent="0.35">
      <c r="A32" s="234"/>
      <c r="B32" s="254" t="s">
        <v>21</v>
      </c>
      <c r="C32" s="270">
        <v>25000</v>
      </c>
      <c r="D32" s="271">
        <v>1000</v>
      </c>
      <c r="E32" s="270">
        <v>24000</v>
      </c>
      <c r="F32" s="272">
        <v>8640</v>
      </c>
      <c r="G32" s="273">
        <v>15360</v>
      </c>
      <c r="H32" s="274">
        <v>12667</v>
      </c>
      <c r="I32" s="275">
        <v>2693</v>
      </c>
      <c r="J32" s="260">
        <v>0.96</v>
      </c>
      <c r="K32" s="261">
        <v>1.21259966842978</v>
      </c>
      <c r="L32" s="234"/>
      <c r="M32" s="234"/>
      <c r="N32" s="234"/>
      <c r="O32" s="234"/>
    </row>
    <row r="33" spans="1:15" ht="15" customHeight="1" x14ac:dyDescent="0.35">
      <c r="A33" s="234"/>
      <c r="B33" s="262" t="s">
        <v>22</v>
      </c>
      <c r="C33" s="276">
        <v>25000</v>
      </c>
      <c r="D33" s="277">
        <v>1000</v>
      </c>
      <c r="E33" s="276">
        <v>24000</v>
      </c>
      <c r="F33" s="278">
        <v>8640</v>
      </c>
      <c r="G33" s="279">
        <v>15360</v>
      </c>
      <c r="H33" s="280">
        <v>12667</v>
      </c>
      <c r="I33" s="281">
        <v>2693</v>
      </c>
      <c r="J33" s="268">
        <v>0.96</v>
      </c>
      <c r="K33" s="269">
        <v>1.21259966842978</v>
      </c>
      <c r="L33" s="234"/>
      <c r="M33" s="234"/>
      <c r="N33" s="234"/>
      <c r="O33" s="234"/>
    </row>
    <row r="34" spans="1:15" ht="15" customHeight="1" x14ac:dyDescent="0.35">
      <c r="A34" s="234"/>
      <c r="B34" s="254" t="s">
        <v>23</v>
      </c>
      <c r="C34" s="270">
        <v>25000</v>
      </c>
      <c r="D34" s="271">
        <v>1000</v>
      </c>
      <c r="E34" s="270">
        <v>24000</v>
      </c>
      <c r="F34" s="272">
        <v>8640</v>
      </c>
      <c r="G34" s="273">
        <v>15360</v>
      </c>
      <c r="H34" s="274">
        <v>12667</v>
      </c>
      <c r="I34" s="275">
        <v>2693</v>
      </c>
      <c r="J34" s="260">
        <v>0.96</v>
      </c>
      <c r="K34" s="261">
        <v>1.21259966842978</v>
      </c>
      <c r="L34" s="234"/>
      <c r="M34" s="234"/>
      <c r="N34" s="234"/>
      <c r="O34" s="234"/>
    </row>
    <row r="35" spans="1:15" ht="15" customHeight="1" x14ac:dyDescent="0.35">
      <c r="A35" s="234"/>
      <c r="B35" s="262" t="s">
        <v>24</v>
      </c>
      <c r="C35" s="276">
        <v>25000</v>
      </c>
      <c r="D35" s="277">
        <v>1000</v>
      </c>
      <c r="E35" s="276">
        <v>24000</v>
      </c>
      <c r="F35" s="278">
        <v>8640</v>
      </c>
      <c r="G35" s="279">
        <v>15360</v>
      </c>
      <c r="H35" s="280">
        <v>12667</v>
      </c>
      <c r="I35" s="281">
        <v>2693</v>
      </c>
      <c r="J35" s="268">
        <v>0.96</v>
      </c>
      <c r="K35" s="269">
        <v>1.21259966842978</v>
      </c>
      <c r="L35" s="234"/>
      <c r="M35" s="234"/>
      <c r="N35" s="234"/>
      <c r="O35" s="234"/>
    </row>
    <row r="36" spans="1:15" ht="15" customHeight="1" x14ac:dyDescent="0.35">
      <c r="A36" s="234"/>
      <c r="B36" s="254" t="s">
        <v>25</v>
      </c>
      <c r="C36" s="270">
        <v>25000</v>
      </c>
      <c r="D36" s="271">
        <v>1000</v>
      </c>
      <c r="E36" s="270">
        <v>24000</v>
      </c>
      <c r="F36" s="272">
        <v>8640</v>
      </c>
      <c r="G36" s="273">
        <v>15360</v>
      </c>
      <c r="H36" s="274">
        <v>12667</v>
      </c>
      <c r="I36" s="275">
        <v>2693</v>
      </c>
      <c r="J36" s="260">
        <v>0.96</v>
      </c>
      <c r="K36" s="261">
        <v>1.21259966842978</v>
      </c>
      <c r="L36" s="234"/>
      <c r="M36" s="234"/>
      <c r="N36" s="234"/>
      <c r="O36" s="234"/>
    </row>
    <row r="37" spans="1:15" ht="15" customHeight="1" x14ac:dyDescent="0.35">
      <c r="A37" s="234"/>
      <c r="B37" s="262" t="s">
        <v>26</v>
      </c>
      <c r="C37" s="276">
        <v>25000</v>
      </c>
      <c r="D37" s="277">
        <v>1000</v>
      </c>
      <c r="E37" s="276">
        <v>24000</v>
      </c>
      <c r="F37" s="278">
        <v>8640</v>
      </c>
      <c r="G37" s="279">
        <v>15360</v>
      </c>
      <c r="H37" s="280">
        <v>12667</v>
      </c>
      <c r="I37" s="281">
        <v>2693</v>
      </c>
      <c r="J37" s="268">
        <v>0.96</v>
      </c>
      <c r="K37" s="269">
        <v>1.21259966842978</v>
      </c>
      <c r="L37" s="234"/>
      <c r="M37" s="234"/>
      <c r="N37" s="234"/>
      <c r="O37" s="234"/>
    </row>
    <row r="38" spans="1:15" ht="15" customHeight="1" x14ac:dyDescent="0.35">
      <c r="A38" s="234"/>
      <c r="B38" s="254" t="s">
        <v>27</v>
      </c>
      <c r="C38" s="270">
        <v>25000</v>
      </c>
      <c r="D38" s="271">
        <v>1000</v>
      </c>
      <c r="E38" s="270">
        <v>24000</v>
      </c>
      <c r="F38" s="272">
        <v>8640</v>
      </c>
      <c r="G38" s="273">
        <v>15360</v>
      </c>
      <c r="H38" s="274">
        <v>12667</v>
      </c>
      <c r="I38" s="275">
        <v>2693</v>
      </c>
      <c r="J38" s="260">
        <v>0.96</v>
      </c>
      <c r="K38" s="261">
        <v>1.21259966842978</v>
      </c>
      <c r="L38" s="234"/>
      <c r="M38" s="234"/>
      <c r="N38" s="234"/>
      <c r="O38" s="234"/>
    </row>
    <row r="39" spans="1:15" ht="15" customHeight="1" x14ac:dyDescent="0.35">
      <c r="A39" s="234"/>
      <c r="B39" s="262" t="s">
        <v>28</v>
      </c>
      <c r="C39" s="276">
        <v>25000</v>
      </c>
      <c r="D39" s="277">
        <v>1000</v>
      </c>
      <c r="E39" s="276">
        <v>24000</v>
      </c>
      <c r="F39" s="278">
        <v>8640</v>
      </c>
      <c r="G39" s="279">
        <v>15360</v>
      </c>
      <c r="H39" s="280">
        <v>12667</v>
      </c>
      <c r="I39" s="281">
        <v>2693</v>
      </c>
      <c r="J39" s="268">
        <v>0.96</v>
      </c>
      <c r="K39" s="269">
        <v>1.21259966842978</v>
      </c>
      <c r="L39" s="234"/>
      <c r="M39" s="234"/>
      <c r="N39" s="234"/>
      <c r="O39" s="234"/>
    </row>
    <row r="40" spans="1:15" ht="15" customHeight="1" x14ac:dyDescent="0.35">
      <c r="A40" s="234"/>
      <c r="B40" s="236" t="s">
        <v>31</v>
      </c>
      <c r="C40" s="282">
        <v>300000</v>
      </c>
      <c r="D40" s="282">
        <v>12000</v>
      </c>
      <c r="E40" s="282">
        <v>288000</v>
      </c>
      <c r="F40" s="282">
        <v>103680</v>
      </c>
      <c r="G40" s="282">
        <v>184320</v>
      </c>
      <c r="H40" s="282">
        <v>152004</v>
      </c>
      <c r="I40" s="282">
        <v>32316</v>
      </c>
      <c r="J40" s="283">
        <v>0.96</v>
      </c>
      <c r="K40" s="284">
        <v>1.21259966842978</v>
      </c>
      <c r="L40" s="234"/>
      <c r="M40" s="234"/>
      <c r="N40" s="234"/>
      <c r="O40" s="234"/>
    </row>
    <row r="41" spans="1:15" ht="14.25" customHeight="1" x14ac:dyDescent="0.35">
      <c r="A41" s="234"/>
      <c r="B41" s="235"/>
      <c r="C41" s="235"/>
      <c r="D41" s="235"/>
      <c r="E41" s="235"/>
      <c r="F41" s="235"/>
      <c r="G41" s="235"/>
      <c r="H41" s="235"/>
      <c r="I41" s="235"/>
      <c r="J41" s="235"/>
      <c r="K41" s="235"/>
      <c r="L41" s="234"/>
      <c r="M41" s="234"/>
      <c r="N41" s="234"/>
      <c r="O41" s="234"/>
    </row>
    <row r="42" spans="1:15" ht="21.75" customHeight="1" x14ac:dyDescent="0.35">
      <c r="A42" s="234"/>
      <c r="B42" s="236" t="s">
        <v>32</v>
      </c>
      <c r="C42" s="235"/>
      <c r="D42" s="235"/>
      <c r="E42" s="235"/>
      <c r="F42" s="235"/>
      <c r="G42" s="235"/>
      <c r="H42" s="235"/>
      <c r="I42" s="235"/>
      <c r="J42" s="235"/>
      <c r="K42" s="235"/>
      <c r="L42" s="234"/>
      <c r="M42" s="234"/>
      <c r="N42" s="234"/>
      <c r="O42" s="234"/>
    </row>
    <row r="43" spans="1:15" ht="15.75" customHeight="1" x14ac:dyDescent="0.35">
      <c r="A43" s="234"/>
      <c r="B43" s="237" t="s">
        <v>33</v>
      </c>
      <c r="C43" s="237" t="s">
        <v>6</v>
      </c>
      <c r="D43" s="237" t="s">
        <v>4</v>
      </c>
      <c r="E43" s="237" t="s">
        <v>5</v>
      </c>
      <c r="F43" s="237" t="s">
        <v>34</v>
      </c>
      <c r="G43" s="237" t="s">
        <v>7</v>
      </c>
      <c r="H43" s="237" t="s">
        <v>35</v>
      </c>
      <c r="I43" s="237" t="s">
        <v>36</v>
      </c>
      <c r="J43" s="235"/>
      <c r="K43" s="235"/>
      <c r="L43" s="234"/>
      <c r="M43" s="234"/>
      <c r="N43" s="234"/>
      <c r="O43" s="234"/>
    </row>
    <row r="44" spans="1:15" ht="15.75" customHeight="1" x14ac:dyDescent="0.35">
      <c r="A44" s="234"/>
      <c r="B44" s="238" t="s">
        <v>37</v>
      </c>
      <c r="C44" s="260">
        <f>'🏢 Property Metrics'!D7</f>
        <v>0.9375</v>
      </c>
      <c r="D44" s="285">
        <f>'🏢 Property Metrics'!I7</f>
        <v>25200</v>
      </c>
      <c r="E44" s="261">
        <f>'🏢 Property Metrics'!C7</f>
        <v>1.35</v>
      </c>
      <c r="F44" s="255">
        <f>'🏢 Property Metrics'!E7</f>
        <v>42000</v>
      </c>
      <c r="G44" s="259">
        <f>'🏢 Property Metrics'!K7</f>
        <v>6533.3333333333358</v>
      </c>
      <c r="H44" s="245">
        <f>'🏢 Property Metrics'!J7</f>
        <v>6.2E-2</v>
      </c>
      <c r="I44" s="286" t="s">
        <v>38</v>
      </c>
      <c r="J44" s="235"/>
      <c r="K44" s="235"/>
      <c r="L44" s="234"/>
      <c r="M44" s="234"/>
      <c r="N44" s="234"/>
      <c r="O44" s="234"/>
    </row>
    <row r="45" spans="1:15" ht="15.75" customHeight="1" x14ac:dyDescent="0.35">
      <c r="A45" s="234"/>
      <c r="B45" s="241" t="s">
        <v>39</v>
      </c>
      <c r="C45" s="268">
        <f>'🏢 Property Metrics'!D8</f>
        <v>0.98611111111111116</v>
      </c>
      <c r="D45" s="287">
        <f>'🏢 Property Metrics'!I8</f>
        <v>42915.555555555562</v>
      </c>
      <c r="E45" s="269">
        <f>'🏢 Property Metrics'!C8</f>
        <v>1.52</v>
      </c>
      <c r="F45" s="263">
        <f>'🏢 Property Metrics'!E8</f>
        <v>68000</v>
      </c>
      <c r="G45" s="267">
        <f>'🏢 Property Metrics'!K8</f>
        <v>14681.637426900586</v>
      </c>
      <c r="H45" s="288">
        <f>'🏢 Property Metrics'!J8</f>
        <v>7.0999999999999994E-2</v>
      </c>
      <c r="I45" s="289" t="s">
        <v>38</v>
      </c>
      <c r="J45" s="235"/>
      <c r="K45" s="235"/>
      <c r="L45" s="234"/>
      <c r="M45" s="234"/>
      <c r="N45" s="234"/>
      <c r="O45" s="234"/>
    </row>
    <row r="46" spans="1:15" ht="15.75" customHeight="1" x14ac:dyDescent="0.35">
      <c r="A46" s="234"/>
      <c r="B46" s="238" t="s">
        <v>40</v>
      </c>
      <c r="C46" s="260">
        <f>'🏢 Property Metrics'!D9</f>
        <v>0.875</v>
      </c>
      <c r="D46" s="285">
        <f>'🏢 Property Metrics'!I9</f>
        <v>19600</v>
      </c>
      <c r="E46" s="261">
        <f>'🏢 Property Metrics'!C9</f>
        <v>1.18</v>
      </c>
      <c r="F46" s="255">
        <f>'🏢 Property Metrics'!E9</f>
        <v>35000</v>
      </c>
      <c r="G46" s="256">
        <f>'🏢 Property Metrics'!K9</f>
        <v>2989.8305084745771</v>
      </c>
      <c r="H46" s="245">
        <f>'🏢 Property Metrics'!J9</f>
        <v>5.8000000000000003E-2</v>
      </c>
      <c r="I46" s="290" t="s">
        <v>41</v>
      </c>
      <c r="J46" s="235"/>
      <c r="K46" s="235"/>
      <c r="L46" s="234"/>
      <c r="M46" s="234"/>
      <c r="N46" s="234"/>
      <c r="O46" s="234"/>
    </row>
    <row r="47" spans="1:15" ht="15.75" customHeight="1" x14ac:dyDescent="0.35">
      <c r="A47" s="234"/>
      <c r="B47" s="241" t="s">
        <v>42</v>
      </c>
      <c r="C47" s="268">
        <f>'🏢 Property Metrics'!D10</f>
        <v>1</v>
      </c>
      <c r="D47" s="287">
        <f>'🏢 Property Metrics'!I10</f>
        <v>60800</v>
      </c>
      <c r="E47" s="269">
        <f>'🏢 Property Metrics'!C10</f>
        <v>1.67</v>
      </c>
      <c r="F47" s="263">
        <f>'🏢 Property Metrics'!E10</f>
        <v>95000</v>
      </c>
      <c r="G47" s="267">
        <f>'🏢 Property Metrics'!K10</f>
        <v>24392.814371257482</v>
      </c>
      <c r="H47" s="288">
        <f>'🏢 Property Metrics'!J10</f>
        <v>7.8E-2</v>
      </c>
      <c r="I47" s="289" t="s">
        <v>38</v>
      </c>
      <c r="J47" s="235"/>
      <c r="K47" s="235"/>
      <c r="L47" s="234"/>
      <c r="M47" s="234"/>
      <c r="N47" s="234"/>
      <c r="O47" s="234"/>
    </row>
    <row r="48" spans="1:15" ht="15.75" customHeight="1" x14ac:dyDescent="0.35">
      <c r="A48" s="234"/>
      <c r="B48" s="238" t="s">
        <v>43</v>
      </c>
      <c r="C48" s="260">
        <f>'🏢 Property Metrics'!D11</f>
        <v>0.91666666666666663</v>
      </c>
      <c r="D48" s="285">
        <f>'🏢 Property Metrics'!I11</f>
        <v>32266.666666666664</v>
      </c>
      <c r="E48" s="261">
        <f>'🏢 Property Metrics'!C11</f>
        <v>1.29</v>
      </c>
      <c r="F48" s="255">
        <f>'🏢 Property Metrics'!E11</f>
        <v>55000</v>
      </c>
      <c r="G48" s="259">
        <f>'🏢 Property Metrics'!K11</f>
        <v>7253.7467700258385</v>
      </c>
      <c r="H48" s="245">
        <f>'🏢 Property Metrics'!J11</f>
        <v>6.5000000000000002E-2</v>
      </c>
      <c r="I48" s="286" t="s">
        <v>38</v>
      </c>
      <c r="J48" s="235"/>
      <c r="K48" s="235"/>
      <c r="L48" s="234"/>
      <c r="M48" s="234"/>
      <c r="N48" s="234"/>
      <c r="O48" s="234"/>
    </row>
    <row r="49" spans="1:15" ht="14.25" customHeight="1" x14ac:dyDescent="0.35">
      <c r="A49" s="234"/>
      <c r="B49" s="235"/>
      <c r="C49" s="235"/>
      <c r="D49" s="235"/>
      <c r="E49" s="235"/>
      <c r="F49" s="235"/>
      <c r="G49" s="235"/>
      <c r="H49" s="235"/>
      <c r="I49" s="235"/>
      <c r="J49" s="235"/>
      <c r="K49" s="235"/>
      <c r="L49" s="234"/>
      <c r="M49" s="234"/>
      <c r="N49" s="234"/>
      <c r="O49" s="234"/>
    </row>
    <row r="50" spans="1:15" ht="21.75" customHeight="1" x14ac:dyDescent="0.35">
      <c r="A50" s="234"/>
      <c r="B50" s="236" t="s">
        <v>44</v>
      </c>
      <c r="C50" s="235"/>
      <c r="D50" s="235"/>
      <c r="E50" s="235"/>
      <c r="F50" s="235"/>
      <c r="G50" s="235"/>
      <c r="H50" s="235"/>
      <c r="I50" s="235"/>
      <c r="J50" s="235"/>
      <c r="K50" s="235"/>
      <c r="L50" s="234"/>
      <c r="M50" s="234"/>
      <c r="N50" s="234"/>
      <c r="O50" s="234"/>
    </row>
    <row r="51" spans="1:15" ht="15.75" customHeight="1" x14ac:dyDescent="0.35">
      <c r="A51" s="234"/>
      <c r="B51" s="291" t="s">
        <v>45</v>
      </c>
      <c r="C51" s="291" t="s">
        <v>46</v>
      </c>
      <c r="D51" s="235"/>
      <c r="E51" s="235"/>
      <c r="F51" s="235"/>
      <c r="G51" s="235"/>
      <c r="H51" s="235"/>
      <c r="I51" s="235"/>
      <c r="J51" s="235"/>
      <c r="K51" s="235"/>
      <c r="L51" s="234"/>
      <c r="M51" s="234"/>
      <c r="N51" s="234"/>
      <c r="O51" s="234"/>
    </row>
    <row r="52" spans="1:15" ht="39.75" customHeight="1" x14ac:dyDescent="0.35">
      <c r="A52" s="234"/>
      <c r="B52" s="292" t="s">
        <v>47</v>
      </c>
      <c r="C52" s="293" t="s">
        <v>48</v>
      </c>
      <c r="D52" s="235"/>
      <c r="E52" s="235"/>
      <c r="F52" s="235"/>
      <c r="G52" s="235"/>
      <c r="H52" s="235"/>
      <c r="I52" s="235"/>
      <c r="J52" s="235"/>
      <c r="K52" s="235"/>
      <c r="L52" s="234"/>
      <c r="M52" s="234"/>
      <c r="N52" s="234"/>
      <c r="O52" s="234"/>
    </row>
    <row r="53" spans="1:15" ht="39.75" customHeight="1" x14ac:dyDescent="0.35">
      <c r="A53" s="234"/>
      <c r="B53" s="294" t="s">
        <v>49</v>
      </c>
      <c r="C53" s="295" t="s">
        <v>50</v>
      </c>
      <c r="D53" s="235"/>
      <c r="E53" s="235"/>
      <c r="F53" s="235"/>
      <c r="G53" s="235"/>
      <c r="H53" s="235"/>
      <c r="I53" s="235"/>
      <c r="J53" s="235"/>
      <c r="K53" s="235"/>
      <c r="L53" s="234"/>
      <c r="M53" s="234"/>
      <c r="N53" s="234"/>
      <c r="O53" s="234"/>
    </row>
    <row r="54" spans="1:15" ht="39.75" customHeight="1" x14ac:dyDescent="0.35">
      <c r="A54" s="234"/>
      <c r="B54" s="292" t="s">
        <v>7</v>
      </c>
      <c r="C54" s="293" t="s">
        <v>51</v>
      </c>
      <c r="D54" s="235"/>
      <c r="E54" s="235"/>
      <c r="F54" s="235"/>
      <c r="G54" s="235"/>
      <c r="H54" s="235"/>
      <c r="I54" s="235"/>
      <c r="J54" s="235"/>
      <c r="K54" s="235"/>
      <c r="L54" s="234"/>
      <c r="M54" s="234"/>
      <c r="N54" s="234"/>
      <c r="O54" s="234"/>
    </row>
    <row r="55" spans="1:15" ht="39.75" customHeight="1" x14ac:dyDescent="0.35">
      <c r="A55" s="234"/>
      <c r="B55" s="294" t="s">
        <v>6</v>
      </c>
      <c r="C55" s="295" t="s">
        <v>52</v>
      </c>
      <c r="D55" s="235"/>
      <c r="E55" s="235"/>
      <c r="F55" s="235"/>
      <c r="G55" s="235"/>
      <c r="H55" s="235"/>
      <c r="I55" s="235"/>
      <c r="J55" s="235"/>
      <c r="K55" s="235"/>
      <c r="L55" s="234"/>
      <c r="M55" s="234"/>
      <c r="N55" s="234"/>
      <c r="O55" s="234"/>
    </row>
    <row r="56" spans="1:15" ht="39.75" customHeight="1" x14ac:dyDescent="0.35">
      <c r="A56" s="234"/>
      <c r="B56" s="292" t="s">
        <v>35</v>
      </c>
      <c r="C56" s="293" t="s">
        <v>53</v>
      </c>
      <c r="D56" s="235"/>
      <c r="E56" s="235"/>
      <c r="F56" s="235"/>
      <c r="G56" s="235"/>
      <c r="H56" s="235"/>
      <c r="I56" s="235"/>
      <c r="J56" s="235"/>
      <c r="K56" s="235"/>
      <c r="L56" s="234"/>
      <c r="M56" s="234"/>
      <c r="N56" s="234"/>
      <c r="O56" s="234"/>
    </row>
    <row r="57" spans="1:15" ht="39.75" customHeight="1" x14ac:dyDescent="0.35">
      <c r="A57" s="234"/>
      <c r="B57" s="294" t="s">
        <v>54</v>
      </c>
      <c r="C57" s="295" t="s">
        <v>55</v>
      </c>
      <c r="D57" s="235"/>
      <c r="E57" s="235"/>
      <c r="F57" s="235"/>
      <c r="G57" s="235"/>
      <c r="H57" s="235"/>
      <c r="I57" s="235"/>
      <c r="J57" s="235"/>
      <c r="K57" s="235"/>
      <c r="L57" s="234"/>
      <c r="M57" s="234"/>
      <c r="N57" s="234"/>
      <c r="O57" s="234"/>
    </row>
    <row r="58" spans="1:15" ht="14.25" customHeight="1" x14ac:dyDescent="0.35">
      <c r="A58" s="234"/>
      <c r="B58" s="235"/>
      <c r="C58" s="235"/>
      <c r="D58" s="235"/>
      <c r="E58" s="235"/>
      <c r="F58" s="235"/>
      <c r="G58" s="235"/>
      <c r="H58" s="235"/>
      <c r="I58" s="235"/>
      <c r="J58" s="235"/>
      <c r="K58" s="235"/>
      <c r="L58" s="234"/>
      <c r="M58" s="234"/>
      <c r="N58" s="234"/>
      <c r="O58" s="234"/>
    </row>
    <row r="59" spans="1:15" ht="21.75" customHeight="1" x14ac:dyDescent="0.35">
      <c r="A59" s="234"/>
      <c r="B59" s="236" t="s">
        <v>56</v>
      </c>
      <c r="C59" s="235"/>
      <c r="D59" s="235"/>
      <c r="E59" s="235"/>
      <c r="F59" s="235"/>
      <c r="G59" s="235"/>
      <c r="H59" s="235"/>
      <c r="I59" s="235"/>
      <c r="J59" s="235"/>
      <c r="K59" s="235"/>
      <c r="L59" s="234"/>
      <c r="M59" s="234"/>
      <c r="N59" s="234"/>
      <c r="O59" s="234"/>
    </row>
    <row r="60" spans="1:15" ht="15.75" customHeight="1" x14ac:dyDescent="0.35">
      <c r="A60" s="234"/>
      <c r="B60" s="291" t="s">
        <v>57</v>
      </c>
      <c r="C60" s="291" t="s">
        <v>58</v>
      </c>
      <c r="D60" s="291" t="s">
        <v>59</v>
      </c>
      <c r="E60" s="235"/>
      <c r="F60" s="235"/>
      <c r="G60" s="235"/>
      <c r="H60" s="235"/>
      <c r="I60" s="235"/>
      <c r="J60" s="235"/>
      <c r="K60" s="235"/>
      <c r="L60" s="234"/>
      <c r="M60" s="234"/>
      <c r="N60" s="234"/>
      <c r="O60" s="234"/>
    </row>
    <row r="61" spans="1:15" ht="42" customHeight="1" x14ac:dyDescent="0.35">
      <c r="A61" s="234"/>
      <c r="B61" s="296" t="s">
        <v>60</v>
      </c>
      <c r="C61" s="238" t="s">
        <v>5</v>
      </c>
      <c r="D61" s="293" t="s">
        <v>61</v>
      </c>
      <c r="E61" s="235"/>
      <c r="F61" s="235"/>
      <c r="G61" s="235"/>
      <c r="H61" s="235"/>
      <c r="I61" s="235"/>
      <c r="J61" s="235"/>
      <c r="K61" s="235"/>
      <c r="L61" s="234"/>
      <c r="M61" s="234"/>
      <c r="N61" s="234"/>
      <c r="O61" s="234"/>
    </row>
    <row r="62" spans="1:15" ht="42" customHeight="1" x14ac:dyDescent="0.35">
      <c r="A62" s="234"/>
      <c r="B62" s="297" t="s">
        <v>60</v>
      </c>
      <c r="C62" s="241" t="s">
        <v>12</v>
      </c>
      <c r="D62" s="295" t="s">
        <v>62</v>
      </c>
      <c r="E62" s="235"/>
      <c r="F62" s="235"/>
      <c r="G62" s="235"/>
      <c r="H62" s="235"/>
      <c r="I62" s="235"/>
      <c r="J62" s="235"/>
      <c r="K62" s="235"/>
      <c r="L62" s="234"/>
      <c r="M62" s="234"/>
      <c r="N62" s="234"/>
      <c r="O62" s="234"/>
    </row>
    <row r="63" spans="1:15" ht="42" customHeight="1" x14ac:dyDescent="0.35">
      <c r="A63" s="234"/>
      <c r="B63" s="298" t="s">
        <v>63</v>
      </c>
      <c r="C63" s="238" t="s">
        <v>6</v>
      </c>
      <c r="D63" s="293" t="s">
        <v>64</v>
      </c>
      <c r="E63" s="235"/>
      <c r="F63" s="235"/>
      <c r="G63" s="235"/>
      <c r="H63" s="235"/>
      <c r="I63" s="235"/>
      <c r="J63" s="235"/>
      <c r="K63" s="235"/>
      <c r="L63" s="234"/>
      <c r="M63" s="234"/>
      <c r="N63" s="234"/>
      <c r="O63" s="234"/>
    </row>
    <row r="64" spans="1:15" ht="14.25" customHeight="1" x14ac:dyDescent="0.35">
      <c r="A64" s="234"/>
      <c r="B64" s="235"/>
      <c r="C64" s="235"/>
      <c r="D64" s="235"/>
      <c r="E64" s="235"/>
      <c r="F64" s="235"/>
      <c r="G64" s="235"/>
      <c r="H64" s="235"/>
      <c r="I64" s="235"/>
      <c r="J64" s="235"/>
      <c r="K64" s="235"/>
      <c r="L64" s="234"/>
      <c r="M64" s="234"/>
      <c r="N64" s="234"/>
      <c r="O64" s="234"/>
    </row>
    <row r="65" spans="1:15" ht="21.75" customHeight="1" x14ac:dyDescent="0.35">
      <c r="A65" s="234"/>
      <c r="B65" s="236" t="s">
        <v>65</v>
      </c>
      <c r="C65" s="235"/>
      <c r="D65" s="235"/>
      <c r="E65" s="235"/>
      <c r="F65" s="235"/>
      <c r="G65" s="235"/>
      <c r="H65" s="235"/>
      <c r="I65" s="235"/>
      <c r="J65" s="235"/>
      <c r="K65" s="235"/>
      <c r="L65" s="234"/>
      <c r="M65" s="234"/>
      <c r="N65" s="234"/>
      <c r="O65" s="234"/>
    </row>
    <row r="66" spans="1:15" ht="15.75" customHeight="1" x14ac:dyDescent="0.35">
      <c r="A66" s="234"/>
      <c r="B66" s="237" t="s">
        <v>66</v>
      </c>
      <c r="C66" s="291" t="s">
        <v>67</v>
      </c>
      <c r="D66" s="235"/>
      <c r="E66" s="235"/>
      <c r="F66" s="235"/>
      <c r="G66" s="235"/>
      <c r="H66" s="235"/>
      <c r="I66" s="235"/>
      <c r="J66" s="235"/>
      <c r="K66" s="235"/>
      <c r="L66" s="234"/>
      <c r="M66" s="234"/>
      <c r="N66" s="234"/>
      <c r="O66" s="234"/>
    </row>
    <row r="67" spans="1:15" ht="30" customHeight="1" x14ac:dyDescent="0.35">
      <c r="A67" s="234"/>
      <c r="B67" s="299" t="s">
        <v>68</v>
      </c>
      <c r="C67" s="300" t="s">
        <v>69</v>
      </c>
      <c r="D67" s="235"/>
      <c r="E67" s="235"/>
      <c r="F67" s="235"/>
      <c r="G67" s="235"/>
      <c r="H67" s="235"/>
      <c r="I67" s="235"/>
      <c r="J67" s="235"/>
      <c r="K67" s="235"/>
      <c r="L67" s="234"/>
      <c r="M67" s="234"/>
      <c r="N67" s="234"/>
      <c r="O67" s="234"/>
    </row>
    <row r="68" spans="1:15" ht="30" customHeight="1" x14ac:dyDescent="0.35">
      <c r="A68" s="234"/>
      <c r="B68" s="301" t="s">
        <v>70</v>
      </c>
      <c r="C68" s="302" t="s">
        <v>71</v>
      </c>
      <c r="D68" s="235"/>
      <c r="E68" s="235"/>
      <c r="F68" s="235"/>
      <c r="G68" s="235"/>
      <c r="H68" s="235"/>
      <c r="I68" s="235"/>
      <c r="J68" s="235"/>
      <c r="K68" s="235"/>
      <c r="L68" s="234"/>
      <c r="M68" s="234"/>
      <c r="N68" s="234"/>
      <c r="O68" s="234"/>
    </row>
    <row r="69" spans="1:15" ht="30" customHeight="1" x14ac:dyDescent="0.35">
      <c r="A69" s="234"/>
      <c r="B69" s="299" t="s">
        <v>72</v>
      </c>
      <c r="C69" s="300" t="s">
        <v>73</v>
      </c>
      <c r="D69" s="235"/>
      <c r="E69" s="235"/>
      <c r="F69" s="235"/>
      <c r="G69" s="235"/>
      <c r="H69" s="235"/>
      <c r="I69" s="235"/>
      <c r="J69" s="235"/>
      <c r="K69" s="235"/>
      <c r="L69" s="234"/>
      <c r="M69" s="234"/>
      <c r="N69" s="234"/>
      <c r="O69" s="234"/>
    </row>
    <row r="70" spans="1:15" ht="30" customHeight="1" x14ac:dyDescent="0.35">
      <c r="A70" s="234"/>
      <c r="B70" s="301" t="s">
        <v>74</v>
      </c>
      <c r="C70" s="302" t="s">
        <v>75</v>
      </c>
      <c r="D70" s="235"/>
      <c r="E70" s="235"/>
      <c r="F70" s="235"/>
      <c r="G70" s="235"/>
      <c r="H70" s="235"/>
      <c r="I70" s="235"/>
      <c r="J70" s="235"/>
      <c r="K70" s="235"/>
      <c r="L70" s="234"/>
      <c r="M70" s="234"/>
      <c r="N70" s="234"/>
      <c r="O70" s="234"/>
    </row>
    <row r="71" spans="1:15" ht="14.25" customHeight="1" x14ac:dyDescent="0.35">
      <c r="A71" s="234"/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4"/>
      <c r="M71" s="234"/>
      <c r="N71" s="234"/>
      <c r="O71" s="234"/>
    </row>
    <row r="72" spans="1:15" ht="14.25" customHeight="1" x14ac:dyDescent="0.35">
      <c r="A72" s="234"/>
      <c r="B72" s="235"/>
      <c r="C72" s="235"/>
      <c r="D72" s="235"/>
      <c r="E72" s="235"/>
      <c r="F72" s="235"/>
      <c r="G72" s="235"/>
      <c r="H72" s="235"/>
      <c r="I72" s="235"/>
      <c r="J72" s="235"/>
      <c r="K72" s="235"/>
      <c r="L72" s="234"/>
      <c r="M72" s="234"/>
      <c r="N72" s="234"/>
      <c r="O72" s="234"/>
    </row>
    <row r="73" spans="1:15" ht="14.25" customHeight="1" x14ac:dyDescent="0.35">
      <c r="A73" s="234"/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4"/>
      <c r="M73" s="234"/>
      <c r="N73" s="234"/>
      <c r="O73" s="234"/>
    </row>
    <row r="74" spans="1:15" ht="14.25" customHeight="1" x14ac:dyDescent="0.35">
      <c r="A74" s="234"/>
      <c r="B74" s="235"/>
      <c r="C74" s="235"/>
      <c r="D74" s="235"/>
      <c r="E74" s="235"/>
      <c r="F74" s="235"/>
      <c r="G74" s="235"/>
      <c r="H74" s="235"/>
      <c r="I74" s="235"/>
      <c r="J74" s="235"/>
      <c r="K74" s="235"/>
      <c r="L74" s="234"/>
      <c r="M74" s="234"/>
      <c r="N74" s="234"/>
      <c r="O74" s="234"/>
    </row>
    <row r="75" spans="1:15" ht="14.25" customHeight="1" x14ac:dyDescent="0.35">
      <c r="A75" s="234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4"/>
      <c r="M75" s="234"/>
      <c r="N75" s="234"/>
      <c r="O75" s="234"/>
    </row>
    <row r="76" spans="1:15" ht="14.25" customHeight="1" x14ac:dyDescent="0.35">
      <c r="A76" s="234"/>
      <c r="B76" s="235"/>
      <c r="C76" s="235"/>
      <c r="D76" s="235"/>
      <c r="E76" s="235"/>
      <c r="F76" s="235"/>
      <c r="G76" s="235"/>
      <c r="H76" s="235"/>
      <c r="I76" s="235"/>
      <c r="J76" s="235"/>
      <c r="K76" s="235"/>
      <c r="L76" s="234"/>
      <c r="M76" s="234"/>
      <c r="N76" s="234"/>
      <c r="O76" s="234"/>
    </row>
    <row r="77" spans="1:15" ht="14.25" customHeight="1" x14ac:dyDescent="0.35">
      <c r="A77" s="234"/>
      <c r="B77" s="235"/>
      <c r="C77" s="235"/>
      <c r="D77" s="235"/>
      <c r="E77" s="235"/>
      <c r="F77" s="235"/>
      <c r="G77" s="235"/>
      <c r="H77" s="235"/>
      <c r="I77" s="235"/>
      <c r="J77" s="235"/>
      <c r="K77" s="235"/>
      <c r="L77" s="234"/>
      <c r="M77" s="234"/>
      <c r="N77" s="234"/>
      <c r="O77" s="234"/>
    </row>
    <row r="78" spans="1:15" ht="14.25" customHeight="1" x14ac:dyDescent="0.35">
      <c r="A78" s="234"/>
      <c r="B78" s="235"/>
      <c r="C78" s="235"/>
      <c r="D78" s="235"/>
      <c r="E78" s="235"/>
      <c r="F78" s="235"/>
      <c r="G78" s="235"/>
      <c r="H78" s="235"/>
      <c r="I78" s="235"/>
      <c r="J78" s="235"/>
      <c r="K78" s="235"/>
      <c r="L78" s="234"/>
      <c r="M78" s="234"/>
      <c r="N78" s="234"/>
      <c r="O78" s="234"/>
    </row>
    <row r="79" spans="1:15" ht="14.25" customHeight="1" x14ac:dyDescent="0.35">
      <c r="A79" s="234"/>
      <c r="B79" s="235"/>
      <c r="C79" s="235"/>
      <c r="D79" s="235"/>
      <c r="E79" s="235"/>
      <c r="F79" s="235"/>
      <c r="G79" s="235"/>
      <c r="H79" s="235"/>
      <c r="I79" s="235"/>
      <c r="J79" s="235"/>
      <c r="K79" s="235"/>
      <c r="L79" s="234"/>
      <c r="M79" s="234"/>
      <c r="N79" s="234"/>
      <c r="O79" s="234"/>
    </row>
    <row r="80" spans="1:15" ht="14.25" customHeight="1" x14ac:dyDescent="0.35">
      <c r="A80" s="234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4"/>
      <c r="M80" s="234"/>
      <c r="N80" s="234"/>
      <c r="O80" s="234"/>
    </row>
    <row r="81" spans="1:15" ht="14.25" customHeight="1" x14ac:dyDescent="0.35">
      <c r="A81" s="234"/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4"/>
      <c r="M81" s="234"/>
      <c r="N81" s="234"/>
      <c r="O81" s="234"/>
    </row>
    <row r="82" spans="1:15" ht="14.25" customHeight="1" x14ac:dyDescent="0.35">
      <c r="A82" s="234"/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4"/>
      <c r="M82" s="234"/>
      <c r="N82" s="234"/>
      <c r="O82" s="234"/>
    </row>
    <row r="83" spans="1:15" ht="14.25" customHeight="1" x14ac:dyDescent="0.35">
      <c r="A83" s="234"/>
      <c r="B83" s="235"/>
      <c r="C83" s="235"/>
      <c r="D83" s="235"/>
      <c r="E83" s="235"/>
      <c r="F83" s="235"/>
      <c r="G83" s="235"/>
      <c r="H83" s="235"/>
      <c r="I83" s="235"/>
      <c r="J83" s="235"/>
      <c r="K83" s="235"/>
      <c r="L83" s="234"/>
      <c r="M83" s="234"/>
      <c r="N83" s="234"/>
      <c r="O83" s="234"/>
    </row>
    <row r="84" spans="1:15" ht="14.25" customHeight="1" x14ac:dyDescent="0.35">
      <c r="A84" s="234"/>
      <c r="B84" s="235"/>
      <c r="C84" s="235"/>
      <c r="D84" s="235"/>
      <c r="E84" s="235"/>
      <c r="F84" s="235"/>
      <c r="G84" s="235"/>
      <c r="H84" s="235"/>
      <c r="I84" s="235"/>
      <c r="J84" s="235"/>
      <c r="K84" s="235"/>
      <c r="L84" s="234"/>
      <c r="M84" s="234"/>
      <c r="N84" s="234"/>
      <c r="O84" s="234"/>
    </row>
    <row r="85" spans="1:15" ht="14.25" customHeight="1" x14ac:dyDescent="0.35">
      <c r="A85" s="234"/>
      <c r="B85" s="235"/>
      <c r="C85" s="235"/>
      <c r="D85" s="235"/>
      <c r="E85" s="235"/>
      <c r="F85" s="235"/>
      <c r="G85" s="235"/>
      <c r="H85" s="235"/>
      <c r="I85" s="235"/>
      <c r="J85" s="235"/>
      <c r="K85" s="235"/>
      <c r="L85" s="234"/>
      <c r="M85" s="234"/>
      <c r="N85" s="234"/>
      <c r="O85" s="234"/>
    </row>
    <row r="86" spans="1:15" ht="14.25" customHeight="1" x14ac:dyDescent="0.35">
      <c r="A86" s="234"/>
      <c r="B86" s="234"/>
      <c r="C86" s="234"/>
      <c r="D86" s="234"/>
      <c r="E86" s="234"/>
      <c r="F86" s="234"/>
      <c r="G86" s="234"/>
      <c r="H86" s="234"/>
      <c r="I86" s="234"/>
      <c r="J86" s="234"/>
      <c r="K86" s="234"/>
      <c r="L86" s="234"/>
      <c r="M86" s="234"/>
      <c r="N86" s="234"/>
      <c r="O86" s="234"/>
    </row>
    <row r="87" spans="1:15" ht="14.25" customHeight="1" x14ac:dyDescent="0.35">
      <c r="A87" s="234"/>
      <c r="B87" s="234"/>
      <c r="C87" s="234"/>
      <c r="D87" s="234"/>
      <c r="E87" s="234"/>
      <c r="F87" s="234"/>
      <c r="G87" s="234"/>
      <c r="H87" s="234"/>
      <c r="I87" s="234"/>
      <c r="J87" s="234"/>
      <c r="K87" s="234"/>
      <c r="L87" s="234"/>
      <c r="M87" s="234"/>
      <c r="N87" s="234"/>
      <c r="O87" s="234"/>
    </row>
    <row r="88" spans="1:15" ht="14.25" customHeight="1" x14ac:dyDescent="0.35">
      <c r="A88" s="234"/>
      <c r="B88" s="234"/>
      <c r="C88" s="234"/>
      <c r="D88" s="234"/>
      <c r="E88" s="234"/>
      <c r="F88" s="234"/>
      <c r="G88" s="234"/>
      <c r="H88" s="234"/>
      <c r="I88" s="234"/>
      <c r="J88" s="234"/>
      <c r="K88" s="234"/>
      <c r="L88" s="234"/>
      <c r="M88" s="234"/>
      <c r="N88" s="234"/>
      <c r="O88" s="234"/>
    </row>
    <row r="89" spans="1:15" ht="14.25" customHeight="1" x14ac:dyDescent="0.35">
      <c r="A89" s="234"/>
      <c r="B89" s="234"/>
      <c r="C89" s="234"/>
      <c r="D89" s="234"/>
      <c r="E89" s="234"/>
      <c r="F89" s="234"/>
      <c r="G89" s="234"/>
      <c r="H89" s="234"/>
      <c r="I89" s="234"/>
      <c r="J89" s="234"/>
      <c r="K89" s="234"/>
      <c r="L89" s="234"/>
      <c r="M89" s="234"/>
      <c r="N89" s="234"/>
      <c r="O89" s="234"/>
    </row>
    <row r="90" spans="1:15" ht="14.25" customHeight="1" x14ac:dyDescent="0.35">
      <c r="A90" s="234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</row>
    <row r="91" spans="1:15" ht="14.25" customHeight="1" x14ac:dyDescent="0.35">
      <c r="A91" s="234"/>
      <c r="B91" s="234"/>
      <c r="C91" s="234"/>
      <c r="D91" s="234"/>
      <c r="E91" s="234"/>
      <c r="F91" s="234"/>
      <c r="G91" s="234"/>
      <c r="H91" s="234"/>
      <c r="I91" s="234"/>
      <c r="J91" s="234"/>
      <c r="K91" s="234"/>
      <c r="L91" s="234"/>
      <c r="M91" s="234"/>
      <c r="N91" s="234"/>
      <c r="O91" s="234"/>
    </row>
    <row r="92" spans="1:15" ht="14.25" customHeight="1" x14ac:dyDescent="0.35">
      <c r="A92" s="234"/>
      <c r="B92" s="234"/>
      <c r="C92" s="234"/>
      <c r="D92" s="234"/>
      <c r="E92" s="234"/>
      <c r="F92" s="234"/>
      <c r="G92" s="234"/>
      <c r="H92" s="234"/>
      <c r="I92" s="234"/>
      <c r="J92" s="234"/>
      <c r="K92" s="234"/>
      <c r="L92" s="234"/>
      <c r="M92" s="234"/>
      <c r="N92" s="234"/>
      <c r="O92" s="234"/>
    </row>
    <row r="93" spans="1:15" ht="14.25" customHeight="1" x14ac:dyDescent="0.35">
      <c r="A93" s="234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</row>
    <row r="94" spans="1:15" ht="14.25" customHeight="1" x14ac:dyDescent="0.35">
      <c r="A94" s="234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</row>
    <row r="95" spans="1:15" ht="14.25" customHeight="1" x14ac:dyDescent="0.35">
      <c r="A95" s="234"/>
      <c r="B95" s="234"/>
      <c r="C95" s="234"/>
      <c r="D95" s="234"/>
      <c r="E95" s="234"/>
      <c r="F95" s="234"/>
      <c r="G95" s="234"/>
      <c r="H95" s="234"/>
      <c r="I95" s="234"/>
      <c r="J95" s="234"/>
      <c r="K95" s="234"/>
      <c r="L95" s="234"/>
      <c r="M95" s="234"/>
      <c r="N95" s="234"/>
      <c r="O95" s="234"/>
    </row>
    <row r="96" spans="1:15" ht="14.25" customHeight="1" x14ac:dyDescent="0.35">
      <c r="A96" s="234"/>
      <c r="B96" s="234"/>
      <c r="C96" s="234"/>
      <c r="D96" s="234"/>
      <c r="E96" s="234"/>
      <c r="F96" s="234"/>
      <c r="G96" s="234"/>
      <c r="H96" s="234"/>
      <c r="I96" s="234"/>
      <c r="J96" s="234"/>
      <c r="K96" s="234"/>
      <c r="L96" s="234"/>
      <c r="M96" s="234"/>
      <c r="N96" s="234"/>
      <c r="O96" s="234"/>
    </row>
    <row r="97" spans="1:15" ht="14.25" customHeight="1" x14ac:dyDescent="0.35">
      <c r="A97" s="234"/>
      <c r="B97" s="234"/>
      <c r="C97" s="234"/>
      <c r="D97" s="234"/>
      <c r="E97" s="234"/>
      <c r="F97" s="234"/>
      <c r="G97" s="234"/>
      <c r="H97" s="234"/>
      <c r="I97" s="234"/>
      <c r="J97" s="234"/>
      <c r="K97" s="234"/>
      <c r="L97" s="234"/>
      <c r="M97" s="234"/>
      <c r="N97" s="234"/>
      <c r="O97" s="234"/>
    </row>
    <row r="98" spans="1:15" ht="14.25" customHeight="1" x14ac:dyDescent="0.35">
      <c r="A98" s="234"/>
      <c r="B98" s="234"/>
      <c r="C98" s="234"/>
      <c r="D98" s="234"/>
      <c r="E98" s="234"/>
      <c r="F98" s="234"/>
      <c r="G98" s="234"/>
      <c r="H98" s="234"/>
      <c r="I98" s="234"/>
      <c r="J98" s="234"/>
      <c r="K98" s="234"/>
      <c r="L98" s="234"/>
      <c r="M98" s="234"/>
      <c r="N98" s="234"/>
      <c r="O98" s="234"/>
    </row>
    <row r="99" spans="1:15" ht="14.25" customHeight="1" x14ac:dyDescent="0.35">
      <c r="A99" s="234"/>
      <c r="B99" s="234"/>
      <c r="C99" s="234"/>
      <c r="D99" s="234"/>
      <c r="E99" s="234"/>
      <c r="F99" s="234"/>
      <c r="G99" s="234"/>
      <c r="H99" s="234"/>
      <c r="I99" s="234"/>
      <c r="J99" s="234"/>
      <c r="K99" s="234"/>
      <c r="L99" s="234"/>
      <c r="M99" s="234"/>
      <c r="N99" s="234"/>
      <c r="O99" s="234"/>
    </row>
    <row r="100" spans="1:15" ht="14.25" customHeight="1" x14ac:dyDescent="0.35">
      <c r="A100" s="234"/>
      <c r="B100" s="234"/>
      <c r="C100" s="234"/>
      <c r="D100" s="234"/>
      <c r="E100" s="234"/>
      <c r="F100" s="234"/>
      <c r="G100" s="234"/>
      <c r="H100" s="234"/>
      <c r="I100" s="234"/>
      <c r="J100" s="234"/>
      <c r="K100" s="234"/>
      <c r="L100" s="234"/>
      <c r="M100" s="234"/>
      <c r="N100" s="234"/>
      <c r="O100" s="234"/>
    </row>
    <row r="101" spans="1:15" ht="14.25" customHeight="1" x14ac:dyDescent="0.35">
      <c r="A101" s="234"/>
      <c r="B101" s="234"/>
      <c r="C101" s="234"/>
      <c r="D101" s="234"/>
      <c r="E101" s="234"/>
      <c r="F101" s="234"/>
      <c r="G101" s="234"/>
      <c r="H101" s="234"/>
      <c r="I101" s="234"/>
      <c r="J101" s="234"/>
      <c r="K101" s="234"/>
      <c r="L101" s="234"/>
      <c r="M101" s="234"/>
      <c r="N101" s="234"/>
      <c r="O101" s="234"/>
    </row>
    <row r="102" spans="1:15" ht="14.25" customHeight="1" x14ac:dyDescent="0.35">
      <c r="A102" s="234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</row>
    <row r="103" spans="1:15" ht="14.25" customHeight="1" x14ac:dyDescent="0.35">
      <c r="A103" s="234"/>
      <c r="B103" s="234"/>
      <c r="C103" s="234"/>
      <c r="D103" s="234"/>
      <c r="E103" s="234"/>
      <c r="F103" s="234"/>
      <c r="G103" s="234"/>
      <c r="H103" s="234"/>
      <c r="I103" s="234"/>
      <c r="J103" s="234"/>
      <c r="K103" s="234"/>
      <c r="L103" s="234"/>
      <c r="M103" s="234"/>
      <c r="N103" s="234"/>
      <c r="O103" s="234"/>
    </row>
    <row r="104" spans="1:15" ht="14.25" customHeight="1" x14ac:dyDescent="0.35">
      <c r="A104" s="234"/>
      <c r="B104" s="234"/>
      <c r="C104" s="234"/>
      <c r="D104" s="234"/>
      <c r="E104" s="234"/>
      <c r="F104" s="234"/>
      <c r="G104" s="234"/>
      <c r="H104" s="234"/>
      <c r="I104" s="234"/>
      <c r="J104" s="234"/>
      <c r="K104" s="234"/>
      <c r="L104" s="234"/>
      <c r="M104" s="234"/>
      <c r="N104" s="234"/>
      <c r="O104" s="234"/>
    </row>
    <row r="105" spans="1:15" ht="14.25" customHeight="1" x14ac:dyDescent="0.35">
      <c r="A105" s="234"/>
      <c r="B105" s="234"/>
      <c r="C105" s="234"/>
      <c r="D105" s="234"/>
      <c r="E105" s="234"/>
      <c r="F105" s="234"/>
      <c r="G105" s="234"/>
      <c r="H105" s="234"/>
      <c r="I105" s="234"/>
      <c r="J105" s="234"/>
      <c r="K105" s="234"/>
      <c r="L105" s="234"/>
      <c r="M105" s="234"/>
      <c r="N105" s="234"/>
      <c r="O105" s="234"/>
    </row>
    <row r="106" spans="1:15" ht="14.25" customHeight="1" x14ac:dyDescent="0.35">
      <c r="A106" s="234"/>
      <c r="B106" s="234"/>
      <c r="C106" s="234"/>
      <c r="D106" s="234"/>
      <c r="E106" s="234"/>
      <c r="F106" s="234"/>
      <c r="G106" s="234"/>
      <c r="H106" s="234"/>
      <c r="I106" s="234"/>
      <c r="J106" s="234"/>
      <c r="K106" s="234"/>
      <c r="L106" s="234"/>
      <c r="M106" s="234"/>
      <c r="N106" s="234"/>
      <c r="O106" s="234"/>
    </row>
    <row r="107" spans="1:15" ht="14.25" customHeight="1" x14ac:dyDescent="0.35">
      <c r="A107" s="234"/>
      <c r="B107" s="234"/>
      <c r="C107" s="234"/>
      <c r="D107" s="234"/>
      <c r="E107" s="234"/>
      <c r="F107" s="234"/>
      <c r="G107" s="234"/>
      <c r="H107" s="234"/>
      <c r="I107" s="234"/>
      <c r="J107" s="234"/>
      <c r="K107" s="234"/>
      <c r="L107" s="234"/>
      <c r="M107" s="234"/>
      <c r="N107" s="234"/>
      <c r="O107" s="234"/>
    </row>
    <row r="108" spans="1:15" ht="14.25" customHeight="1" x14ac:dyDescent="0.35">
      <c r="A108" s="234"/>
      <c r="B108" s="234"/>
      <c r="C108" s="234"/>
      <c r="D108" s="234"/>
      <c r="E108" s="234"/>
      <c r="F108" s="234"/>
      <c r="G108" s="234"/>
      <c r="H108" s="234"/>
      <c r="I108" s="234"/>
      <c r="J108" s="234"/>
      <c r="K108" s="234"/>
      <c r="L108" s="234"/>
      <c r="M108" s="234"/>
      <c r="N108" s="234"/>
      <c r="O108" s="234"/>
    </row>
    <row r="109" spans="1:15" ht="14.25" customHeight="1" x14ac:dyDescent="0.35">
      <c r="A109" s="234"/>
      <c r="B109" s="234"/>
      <c r="C109" s="234"/>
      <c r="D109" s="234"/>
      <c r="E109" s="234"/>
      <c r="F109" s="234"/>
      <c r="G109" s="234"/>
      <c r="H109" s="234"/>
      <c r="I109" s="234"/>
      <c r="J109" s="234"/>
      <c r="K109" s="234"/>
      <c r="L109" s="234"/>
      <c r="M109" s="234"/>
      <c r="N109" s="234"/>
      <c r="O109" s="234"/>
    </row>
    <row r="110" spans="1:15" ht="14.25" customHeight="1" x14ac:dyDescent="0.35">
      <c r="A110" s="234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</row>
    <row r="111" spans="1:15" ht="14.25" customHeight="1" x14ac:dyDescent="0.35">
      <c r="A111" s="234"/>
      <c r="B111" s="234"/>
      <c r="C111" s="234"/>
      <c r="D111" s="234"/>
      <c r="E111" s="234"/>
      <c r="F111" s="234"/>
      <c r="G111" s="234"/>
      <c r="H111" s="234"/>
      <c r="I111" s="234"/>
      <c r="J111" s="234"/>
      <c r="K111" s="234"/>
      <c r="L111" s="234"/>
      <c r="M111" s="234"/>
      <c r="N111" s="234"/>
      <c r="O111" s="234"/>
    </row>
    <row r="112" spans="1:15" ht="14.25" customHeight="1" x14ac:dyDescent="0.35">
      <c r="A112" s="234"/>
      <c r="B112" s="234"/>
      <c r="C112" s="234"/>
      <c r="D112" s="234"/>
      <c r="E112" s="234"/>
      <c r="F112" s="234"/>
      <c r="G112" s="234"/>
      <c r="H112" s="234"/>
      <c r="I112" s="234"/>
      <c r="J112" s="234"/>
      <c r="K112" s="234"/>
      <c r="L112" s="234"/>
      <c r="M112" s="234"/>
      <c r="N112" s="234"/>
      <c r="O112" s="234"/>
    </row>
    <row r="113" spans="1:15" ht="14.25" customHeight="1" x14ac:dyDescent="0.35">
      <c r="A113" s="234"/>
      <c r="B113" s="234"/>
      <c r="C113" s="234"/>
      <c r="D113" s="234"/>
      <c r="E113" s="234"/>
      <c r="F113" s="234"/>
      <c r="G113" s="234"/>
      <c r="H113" s="234"/>
      <c r="I113" s="234"/>
      <c r="J113" s="234"/>
      <c r="K113" s="234"/>
      <c r="L113" s="234"/>
      <c r="M113" s="234"/>
      <c r="N113" s="234"/>
      <c r="O113" s="234"/>
    </row>
    <row r="114" spans="1:15" ht="14.25" customHeight="1" x14ac:dyDescent="0.35">
      <c r="A114" s="234"/>
      <c r="B114" s="234"/>
      <c r="C114" s="234"/>
      <c r="D114" s="234"/>
      <c r="E114" s="234"/>
      <c r="F114" s="234"/>
      <c r="G114" s="234"/>
      <c r="H114" s="234"/>
      <c r="I114" s="234"/>
      <c r="J114" s="234"/>
      <c r="K114" s="234"/>
      <c r="L114" s="234"/>
      <c r="M114" s="234"/>
      <c r="N114" s="234"/>
      <c r="O114" s="234"/>
    </row>
    <row r="115" spans="1:15" ht="14.25" customHeight="1" x14ac:dyDescent="0.35">
      <c r="A115" s="234"/>
      <c r="B115" s="234"/>
      <c r="C115" s="234"/>
      <c r="D115" s="234"/>
      <c r="E115" s="234"/>
      <c r="F115" s="234"/>
      <c r="G115" s="234"/>
      <c r="H115" s="234"/>
      <c r="I115" s="234"/>
      <c r="J115" s="234"/>
      <c r="K115" s="234"/>
      <c r="L115" s="234"/>
      <c r="M115" s="234"/>
      <c r="N115" s="234"/>
      <c r="O115" s="234"/>
    </row>
    <row r="116" spans="1:15" ht="14.25" customHeight="1" x14ac:dyDescent="0.35">
      <c r="A116" s="234"/>
      <c r="B116" s="234"/>
      <c r="C116" s="234"/>
      <c r="D116" s="234"/>
      <c r="E116" s="234"/>
      <c r="F116" s="234"/>
      <c r="G116" s="234"/>
      <c r="H116" s="234"/>
      <c r="I116" s="234"/>
      <c r="J116" s="234"/>
      <c r="K116" s="234"/>
      <c r="L116" s="234"/>
      <c r="M116" s="234"/>
      <c r="N116" s="234"/>
      <c r="O116" s="234"/>
    </row>
    <row r="117" spans="1:15" ht="14.25" customHeight="1" x14ac:dyDescent="0.35">
      <c r="A117" s="234"/>
      <c r="B117" s="234"/>
      <c r="C117" s="234"/>
      <c r="D117" s="234"/>
      <c r="E117" s="234"/>
      <c r="F117" s="234"/>
      <c r="G117" s="234"/>
      <c r="H117" s="234"/>
      <c r="I117" s="234"/>
      <c r="J117" s="234"/>
      <c r="K117" s="234"/>
      <c r="L117" s="234"/>
      <c r="M117" s="234"/>
      <c r="N117" s="234"/>
      <c r="O117" s="234"/>
    </row>
    <row r="118" spans="1:15" ht="14.25" customHeight="1" x14ac:dyDescent="0.35">
      <c r="A118" s="234"/>
      <c r="B118" s="234"/>
      <c r="C118" s="234"/>
      <c r="D118" s="234"/>
      <c r="E118" s="234"/>
      <c r="F118" s="234"/>
      <c r="G118" s="234"/>
      <c r="H118" s="234"/>
      <c r="I118" s="234"/>
      <c r="J118" s="234"/>
      <c r="K118" s="234"/>
      <c r="L118" s="234"/>
      <c r="M118" s="234"/>
      <c r="N118" s="234"/>
      <c r="O118" s="234"/>
    </row>
    <row r="119" spans="1:15" ht="14.25" customHeight="1" x14ac:dyDescent="0.35">
      <c r="A119" s="234"/>
      <c r="B119" s="234"/>
      <c r="C119" s="234"/>
      <c r="D119" s="234"/>
      <c r="E119" s="234"/>
      <c r="F119" s="234"/>
      <c r="G119" s="234"/>
      <c r="H119" s="234"/>
      <c r="I119" s="234"/>
      <c r="J119" s="234"/>
      <c r="K119" s="234"/>
      <c r="L119" s="234"/>
      <c r="M119" s="234"/>
      <c r="N119" s="234"/>
      <c r="O119" s="234"/>
    </row>
    <row r="120" spans="1:15" ht="14.25" customHeight="1" x14ac:dyDescent="0.35">
      <c r="A120" s="234"/>
      <c r="B120" s="234"/>
      <c r="C120" s="234"/>
      <c r="D120" s="234"/>
      <c r="E120" s="234"/>
      <c r="F120" s="234"/>
      <c r="G120" s="234"/>
      <c r="H120" s="234"/>
      <c r="I120" s="234"/>
      <c r="J120" s="234"/>
      <c r="K120" s="234"/>
      <c r="L120" s="234"/>
      <c r="M120" s="234"/>
      <c r="N120" s="234"/>
      <c r="O120" s="234"/>
    </row>
    <row r="121" spans="1:15" ht="14.25" customHeight="1" x14ac:dyDescent="0.35">
      <c r="A121" s="234"/>
      <c r="B121" s="234"/>
      <c r="C121" s="234"/>
      <c r="D121" s="234"/>
      <c r="E121" s="234"/>
      <c r="F121" s="234"/>
      <c r="G121" s="234"/>
      <c r="H121" s="234"/>
      <c r="I121" s="234"/>
      <c r="J121" s="234"/>
      <c r="K121" s="234"/>
      <c r="L121" s="234"/>
      <c r="M121" s="234"/>
      <c r="N121" s="234"/>
      <c r="O121" s="234"/>
    </row>
    <row r="122" spans="1:15" ht="14.25" customHeight="1" x14ac:dyDescent="0.35">
      <c r="A122" s="234"/>
      <c r="B122" s="234"/>
      <c r="C122" s="234"/>
      <c r="D122" s="234"/>
      <c r="E122" s="234"/>
      <c r="F122" s="234"/>
      <c r="G122" s="234"/>
      <c r="H122" s="234"/>
      <c r="I122" s="234"/>
      <c r="J122" s="234"/>
      <c r="K122" s="234"/>
      <c r="L122" s="234"/>
      <c r="M122" s="234"/>
      <c r="N122" s="234"/>
      <c r="O122" s="234"/>
    </row>
    <row r="123" spans="1:15" ht="14.25" customHeight="1" x14ac:dyDescent="0.35">
      <c r="A123" s="234"/>
      <c r="B123" s="234"/>
      <c r="C123" s="234"/>
      <c r="D123" s="234"/>
      <c r="E123" s="234"/>
      <c r="F123" s="234"/>
      <c r="G123" s="234"/>
      <c r="H123" s="234"/>
      <c r="I123" s="234"/>
      <c r="J123" s="234"/>
      <c r="K123" s="234"/>
      <c r="L123" s="234"/>
      <c r="M123" s="234"/>
      <c r="N123" s="234"/>
      <c r="O123" s="234"/>
    </row>
    <row r="124" spans="1:15" ht="14.25" customHeight="1" x14ac:dyDescent="0.35">
      <c r="A124" s="234"/>
      <c r="B124" s="234"/>
      <c r="C124" s="234"/>
      <c r="D124" s="234"/>
      <c r="E124" s="234"/>
      <c r="F124" s="234"/>
      <c r="G124" s="234"/>
      <c r="H124" s="234"/>
      <c r="I124" s="234"/>
      <c r="J124" s="234"/>
      <c r="K124" s="234"/>
      <c r="L124" s="234"/>
      <c r="M124" s="234"/>
      <c r="N124" s="234"/>
      <c r="O124" s="23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D0D0D"/>
  </sheetPr>
  <dimension ref="A1:O124"/>
  <sheetViews>
    <sheetView showGridLines="0" tabSelected="1" zoomScaleNormal="100" workbookViewId="0">
      <selection activeCell="C11" sqref="C11"/>
    </sheetView>
  </sheetViews>
  <sheetFormatPr defaultColWidth="8.6328125" defaultRowHeight="14.5" x14ac:dyDescent="0.35"/>
  <cols>
    <col min="1" max="1" width="2" customWidth="1"/>
    <col min="2" max="2" width="30" customWidth="1"/>
    <col min="3" max="3" width="55" customWidth="1"/>
    <col min="4" max="4" width="58" customWidth="1"/>
    <col min="5" max="15" width="30" customWidth="1"/>
  </cols>
  <sheetData>
    <row r="1" spans="1:15" ht="7.5" customHeight="1" x14ac:dyDescent="0.35">
      <c r="A1" s="234"/>
      <c r="B1" s="234"/>
      <c r="C1" s="234"/>
      <c r="D1" s="234"/>
      <c r="E1" s="235"/>
      <c r="F1" s="235"/>
      <c r="G1" s="235"/>
      <c r="H1" s="235"/>
      <c r="I1" s="235"/>
      <c r="J1" s="235"/>
      <c r="K1" s="235"/>
      <c r="L1" s="234"/>
      <c r="M1" s="234"/>
      <c r="N1" s="234"/>
      <c r="O1" s="234"/>
    </row>
    <row r="2" spans="1:15" ht="21.75" customHeight="1" x14ac:dyDescent="0.35">
      <c r="A2" s="234"/>
      <c r="B2" s="236" t="s">
        <v>0</v>
      </c>
      <c r="C2" s="235"/>
      <c r="D2" s="235"/>
      <c r="E2" s="235"/>
      <c r="F2" s="235"/>
      <c r="G2" s="235"/>
      <c r="H2" s="235"/>
      <c r="I2" s="235"/>
      <c r="J2" s="235"/>
      <c r="K2" s="235"/>
      <c r="L2" s="234"/>
      <c r="M2" s="234"/>
      <c r="N2" s="234"/>
      <c r="O2" s="234"/>
    </row>
    <row r="3" spans="1:15" ht="15.75" customHeight="1" x14ac:dyDescent="0.35">
      <c r="A3" s="234"/>
      <c r="B3" s="237" t="s">
        <v>1</v>
      </c>
      <c r="C3" s="237" t="s">
        <v>2</v>
      </c>
      <c r="D3" s="237" t="s">
        <v>3</v>
      </c>
      <c r="E3" s="235"/>
      <c r="F3" s="235"/>
      <c r="G3" s="235"/>
      <c r="H3" s="235"/>
      <c r="I3" s="235"/>
      <c r="J3" s="235"/>
      <c r="K3" s="235"/>
      <c r="L3" s="234"/>
      <c r="M3" s="234"/>
      <c r="N3" s="234"/>
      <c r="O3" s="234"/>
    </row>
    <row r="4" spans="1:15" ht="15.75" customHeight="1" x14ac:dyDescent="0.35">
      <c r="A4" s="234"/>
      <c r="B4" s="238" t="s">
        <v>4</v>
      </c>
      <c r="C4" s="239">
        <v>280249.59999999998</v>
      </c>
      <c r="D4" s="240">
        <v>0</v>
      </c>
      <c r="E4" s="235"/>
      <c r="F4" s="235"/>
      <c r="G4" s="235"/>
      <c r="H4" s="235"/>
      <c r="I4" s="235"/>
      <c r="J4" s="235"/>
      <c r="K4" s="235"/>
      <c r="L4" s="234"/>
      <c r="M4" s="234"/>
      <c r="N4" s="234"/>
      <c r="O4" s="234"/>
    </row>
    <row r="5" spans="1:15" ht="15.75" customHeight="1" x14ac:dyDescent="0.35">
      <c r="A5" s="234"/>
      <c r="B5" s="241" t="s">
        <v>5</v>
      </c>
      <c r="C5" s="242">
        <v>2.1858214257519499</v>
      </c>
      <c r="D5" s="243">
        <v>1.25</v>
      </c>
      <c r="E5" s="235"/>
      <c r="F5" s="235"/>
      <c r="G5" s="235"/>
      <c r="H5" s="235"/>
      <c r="I5" s="235"/>
      <c r="J5" s="235"/>
      <c r="K5" s="235"/>
      <c r="L5" s="234"/>
      <c r="M5" s="234"/>
      <c r="N5" s="234"/>
      <c r="O5" s="234"/>
    </row>
    <row r="6" spans="1:15" ht="15.75" customHeight="1" x14ac:dyDescent="0.35">
      <c r="A6" s="234"/>
      <c r="B6" s="238" t="s">
        <v>6</v>
      </c>
      <c r="C6" s="244">
        <v>0.26084337349397602</v>
      </c>
      <c r="D6" s="245">
        <v>0.95</v>
      </c>
      <c r="E6" s="235"/>
      <c r="F6" s="235"/>
      <c r="G6" s="235"/>
      <c r="H6" s="235"/>
      <c r="I6" s="235"/>
      <c r="J6" s="235"/>
      <c r="K6" s="235"/>
      <c r="L6" s="234"/>
      <c r="M6" s="234"/>
      <c r="N6" s="234"/>
      <c r="O6" s="234"/>
    </row>
    <row r="7" spans="1:15" ht="15.75" customHeight="1" x14ac:dyDescent="0.35">
      <c r="A7" s="234"/>
      <c r="B7" s="241" t="s">
        <v>7</v>
      </c>
      <c r="C7" s="246">
        <v>28245.599999999999</v>
      </c>
      <c r="D7" s="247">
        <v>158000</v>
      </c>
      <c r="E7" s="235"/>
      <c r="F7" s="235"/>
      <c r="G7" s="235"/>
      <c r="H7" s="235"/>
      <c r="I7" s="235"/>
      <c r="J7" s="235"/>
      <c r="K7" s="235"/>
      <c r="L7" s="234"/>
      <c r="M7" s="234"/>
      <c r="N7" s="234"/>
      <c r="O7" s="234"/>
    </row>
    <row r="8" spans="1:15" ht="15.75" customHeight="1" x14ac:dyDescent="0.35">
      <c r="A8" s="234"/>
      <c r="B8" s="238" t="s">
        <v>8</v>
      </c>
      <c r="C8" s="248">
        <v>297415</v>
      </c>
      <c r="D8" s="249">
        <v>280000</v>
      </c>
      <c r="E8" s="235"/>
      <c r="F8" s="235"/>
      <c r="G8" s="235"/>
      <c r="H8" s="235"/>
      <c r="I8" s="235"/>
      <c r="J8" s="235"/>
      <c r="K8" s="235"/>
      <c r="L8" s="234"/>
      <c r="M8" s="234"/>
      <c r="N8" s="234"/>
      <c r="O8" s="234"/>
    </row>
    <row r="9" spans="1:15" ht="15.75" customHeight="1" x14ac:dyDescent="0.35">
      <c r="A9" s="234"/>
      <c r="B9" s="241" t="s">
        <v>9</v>
      </c>
      <c r="C9" s="250">
        <v>238000</v>
      </c>
      <c r="D9" s="251">
        <v>0.18</v>
      </c>
      <c r="E9" s="235"/>
      <c r="F9" s="235"/>
      <c r="G9" s="235"/>
      <c r="H9" s="235"/>
      <c r="I9" s="235"/>
      <c r="J9" s="235"/>
      <c r="K9" s="235"/>
      <c r="L9" s="234"/>
      <c r="M9" s="234"/>
      <c r="N9" s="234"/>
      <c r="O9" s="234"/>
    </row>
    <row r="10" spans="1:15" ht="19.5" customHeight="1" x14ac:dyDescent="0.35">
      <c r="A10" s="23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4"/>
      <c r="M10" s="234"/>
      <c r="N10" s="234"/>
      <c r="O10" s="234"/>
    </row>
    <row r="11" spans="1:15" ht="21.75" customHeight="1" x14ac:dyDescent="0.35">
      <c r="A11" s="234"/>
      <c r="B11" s="252" t="s">
        <v>10</v>
      </c>
      <c r="C11" s="235"/>
      <c r="D11" s="235"/>
      <c r="E11" s="235"/>
      <c r="F11" s="235"/>
      <c r="G11" s="235"/>
      <c r="H11" s="235"/>
      <c r="I11" s="235"/>
      <c r="J11" s="235"/>
      <c r="K11" s="235"/>
      <c r="L11" s="234"/>
      <c r="M11" s="234"/>
      <c r="N11" s="234"/>
      <c r="O11" s="234"/>
    </row>
    <row r="12" spans="1:15" ht="15.75" customHeight="1" x14ac:dyDescent="0.35">
      <c r="A12" s="234"/>
      <c r="B12" s="237" t="s">
        <v>11</v>
      </c>
      <c r="C12" s="237" t="s">
        <v>12</v>
      </c>
      <c r="D12" s="237" t="s">
        <v>13</v>
      </c>
      <c r="E12" s="237" t="s">
        <v>14</v>
      </c>
      <c r="F12" s="253" t="s">
        <v>15</v>
      </c>
      <c r="G12" s="237" t="s">
        <v>4</v>
      </c>
      <c r="H12" s="237" t="s">
        <v>16</v>
      </c>
      <c r="I12" s="237" t="s">
        <v>7</v>
      </c>
      <c r="J12" s="237" t="s">
        <v>6</v>
      </c>
      <c r="K12" s="237" t="s">
        <v>5</v>
      </c>
      <c r="L12" s="234"/>
      <c r="M12" s="234"/>
      <c r="N12" s="234"/>
      <c r="O12" s="234"/>
    </row>
    <row r="13" spans="1:15" ht="15" customHeight="1" x14ac:dyDescent="0.35">
      <c r="A13" s="234"/>
      <c r="B13" s="254" t="s">
        <v>17</v>
      </c>
      <c r="C13" s="255">
        <v>24583</v>
      </c>
      <c r="D13" s="256">
        <v>1425</v>
      </c>
      <c r="E13" s="255">
        <v>23158</v>
      </c>
      <c r="F13" s="257">
        <v>8336.8799999999992</v>
      </c>
      <c r="G13" s="258">
        <v>14821.12</v>
      </c>
      <c r="H13" s="249">
        <v>12667</v>
      </c>
      <c r="I13" s="259">
        <v>2154.12</v>
      </c>
      <c r="J13" s="260">
        <v>0.94203311231338704</v>
      </c>
      <c r="K13" s="261">
        <v>1.17005763006237</v>
      </c>
      <c r="L13" s="234"/>
      <c r="M13" s="234"/>
      <c r="N13" s="234"/>
      <c r="O13" s="234"/>
    </row>
    <row r="14" spans="1:15" ht="15" customHeight="1" x14ac:dyDescent="0.35">
      <c r="A14" s="234"/>
      <c r="B14" s="262" t="s">
        <v>18</v>
      </c>
      <c r="C14" s="263">
        <v>24100</v>
      </c>
      <c r="D14" s="264">
        <v>1800</v>
      </c>
      <c r="E14" s="263">
        <v>22300</v>
      </c>
      <c r="F14" s="265">
        <v>8028</v>
      </c>
      <c r="G14" s="266">
        <v>14272</v>
      </c>
      <c r="H14" s="247">
        <v>12667</v>
      </c>
      <c r="I14" s="267">
        <v>1605</v>
      </c>
      <c r="J14" s="268">
        <v>0.92531120331950201</v>
      </c>
      <c r="K14" s="269">
        <v>1.1267071919160001</v>
      </c>
      <c r="L14" s="234"/>
      <c r="M14" s="234"/>
      <c r="N14" s="234"/>
      <c r="O14" s="234"/>
    </row>
    <row r="15" spans="1:15" ht="15" customHeight="1" x14ac:dyDescent="0.35">
      <c r="A15" s="234"/>
      <c r="B15" s="254" t="s">
        <v>19</v>
      </c>
      <c r="C15" s="255">
        <v>24583</v>
      </c>
      <c r="D15" s="256">
        <v>1425</v>
      </c>
      <c r="E15" s="255">
        <v>23158</v>
      </c>
      <c r="F15" s="257">
        <v>8336.8799999999992</v>
      </c>
      <c r="G15" s="258">
        <v>14821.12</v>
      </c>
      <c r="H15" s="249">
        <v>12667</v>
      </c>
      <c r="I15" s="259">
        <v>2154.12</v>
      </c>
      <c r="J15" s="260">
        <v>0.94203311231338704</v>
      </c>
      <c r="K15" s="261">
        <v>1.17005763006237</v>
      </c>
      <c r="L15" s="234"/>
      <c r="M15" s="234"/>
      <c r="N15" s="234"/>
      <c r="O15" s="234"/>
    </row>
    <row r="16" spans="1:15" ht="15" customHeight="1" x14ac:dyDescent="0.35">
      <c r="A16" s="234"/>
      <c r="B16" s="262" t="s">
        <v>20</v>
      </c>
      <c r="C16" s="263">
        <v>24583</v>
      </c>
      <c r="D16" s="264">
        <v>1425</v>
      </c>
      <c r="E16" s="263">
        <v>23158</v>
      </c>
      <c r="F16" s="265">
        <v>8336.8799999999992</v>
      </c>
      <c r="G16" s="266">
        <v>14821.12</v>
      </c>
      <c r="H16" s="247">
        <v>12667</v>
      </c>
      <c r="I16" s="267">
        <v>2154.12</v>
      </c>
      <c r="J16" s="268">
        <v>0.94203311231338704</v>
      </c>
      <c r="K16" s="269">
        <v>1.17005763006237</v>
      </c>
      <c r="L16" s="234"/>
      <c r="M16" s="234"/>
      <c r="N16" s="234"/>
      <c r="O16" s="234"/>
    </row>
    <row r="17" spans="1:15" ht="15" customHeight="1" x14ac:dyDescent="0.35">
      <c r="A17" s="234"/>
      <c r="B17" s="254" t="s">
        <v>21</v>
      </c>
      <c r="C17" s="255">
        <v>24900</v>
      </c>
      <c r="D17" s="256">
        <v>1200</v>
      </c>
      <c r="E17" s="255">
        <v>23700</v>
      </c>
      <c r="F17" s="257">
        <v>8532</v>
      </c>
      <c r="G17" s="258">
        <v>15168</v>
      </c>
      <c r="H17" s="249">
        <v>12667</v>
      </c>
      <c r="I17" s="259">
        <v>2501</v>
      </c>
      <c r="J17" s="260">
        <v>0.95180722891566305</v>
      </c>
      <c r="K17" s="261">
        <v>1.19744217257441</v>
      </c>
      <c r="L17" s="234"/>
      <c r="M17" s="234"/>
      <c r="N17" s="234"/>
      <c r="O17" s="234"/>
    </row>
    <row r="18" spans="1:15" ht="15" customHeight="1" x14ac:dyDescent="0.35">
      <c r="A18" s="234"/>
      <c r="B18" s="262" t="s">
        <v>22</v>
      </c>
      <c r="C18" s="263">
        <v>25200</v>
      </c>
      <c r="D18" s="264">
        <v>1000</v>
      </c>
      <c r="E18" s="263">
        <v>24200</v>
      </c>
      <c r="F18" s="265">
        <v>8712</v>
      </c>
      <c r="G18" s="266">
        <v>15488</v>
      </c>
      <c r="H18" s="247">
        <v>12667</v>
      </c>
      <c r="I18" s="267">
        <v>2821</v>
      </c>
      <c r="J18" s="268">
        <v>0.96031746031746001</v>
      </c>
      <c r="K18" s="269">
        <v>1.22270466566669</v>
      </c>
      <c r="L18" s="234"/>
      <c r="M18" s="234"/>
      <c r="N18" s="234"/>
      <c r="O18" s="234"/>
    </row>
    <row r="19" spans="1:15" ht="15" customHeight="1" x14ac:dyDescent="0.35">
      <c r="A19" s="234"/>
      <c r="B19" s="254" t="s">
        <v>23</v>
      </c>
      <c r="C19" s="255">
        <v>25200</v>
      </c>
      <c r="D19" s="256">
        <v>1000</v>
      </c>
      <c r="E19" s="255">
        <v>24200</v>
      </c>
      <c r="F19" s="257">
        <v>8712</v>
      </c>
      <c r="G19" s="258">
        <v>15488</v>
      </c>
      <c r="H19" s="249">
        <v>12667</v>
      </c>
      <c r="I19" s="259">
        <v>2821</v>
      </c>
      <c r="J19" s="260">
        <v>0.96031746031746001</v>
      </c>
      <c r="K19" s="261">
        <v>1.22270466566669</v>
      </c>
      <c r="L19" s="234"/>
      <c r="M19" s="234"/>
      <c r="N19" s="234"/>
      <c r="O19" s="234"/>
    </row>
    <row r="20" spans="1:15" ht="15" customHeight="1" x14ac:dyDescent="0.35">
      <c r="A20" s="234"/>
      <c r="B20" s="262" t="s">
        <v>24</v>
      </c>
      <c r="C20" s="263">
        <v>25200</v>
      </c>
      <c r="D20" s="264">
        <v>1000</v>
      </c>
      <c r="E20" s="263">
        <v>24200</v>
      </c>
      <c r="F20" s="265">
        <v>8712</v>
      </c>
      <c r="G20" s="266">
        <v>15488</v>
      </c>
      <c r="H20" s="247">
        <v>12667</v>
      </c>
      <c r="I20" s="267">
        <v>2821</v>
      </c>
      <c r="J20" s="268">
        <v>0.96031746031746001</v>
      </c>
      <c r="K20" s="269">
        <v>1.22270466566669</v>
      </c>
      <c r="L20" s="234"/>
      <c r="M20" s="234"/>
      <c r="N20" s="234"/>
      <c r="O20" s="234"/>
    </row>
    <row r="21" spans="1:15" ht="15" customHeight="1" x14ac:dyDescent="0.35">
      <c r="A21" s="234"/>
      <c r="B21" s="254" t="s">
        <v>25</v>
      </c>
      <c r="C21" s="255">
        <v>25000</v>
      </c>
      <c r="D21" s="256">
        <v>1250</v>
      </c>
      <c r="E21" s="255">
        <v>23750</v>
      </c>
      <c r="F21" s="257">
        <v>8550</v>
      </c>
      <c r="G21" s="258">
        <v>15200</v>
      </c>
      <c r="H21" s="249">
        <v>12667</v>
      </c>
      <c r="I21" s="259">
        <v>2533</v>
      </c>
      <c r="J21" s="260">
        <v>0.95</v>
      </c>
      <c r="K21" s="261">
        <v>1.19996842188363</v>
      </c>
      <c r="L21" s="234"/>
      <c r="M21" s="234"/>
      <c r="N21" s="234"/>
      <c r="O21" s="234"/>
    </row>
    <row r="22" spans="1:15" ht="15" customHeight="1" x14ac:dyDescent="0.35">
      <c r="A22" s="234"/>
      <c r="B22" s="262" t="s">
        <v>26</v>
      </c>
      <c r="C22" s="263">
        <v>24900</v>
      </c>
      <c r="D22" s="264">
        <v>1400</v>
      </c>
      <c r="E22" s="263">
        <v>23500</v>
      </c>
      <c r="F22" s="265">
        <v>8460</v>
      </c>
      <c r="G22" s="266">
        <v>15040</v>
      </c>
      <c r="H22" s="247">
        <v>12667</v>
      </c>
      <c r="I22" s="267">
        <v>2373</v>
      </c>
      <c r="J22" s="268">
        <v>0.94377510040160595</v>
      </c>
      <c r="K22" s="269">
        <v>1.1873371753374899</v>
      </c>
      <c r="L22" s="234"/>
      <c r="M22" s="234"/>
      <c r="N22" s="234"/>
      <c r="O22" s="234"/>
    </row>
    <row r="23" spans="1:15" ht="15" customHeight="1" x14ac:dyDescent="0.35">
      <c r="A23" s="234"/>
      <c r="B23" s="254" t="s">
        <v>27</v>
      </c>
      <c r="C23" s="255">
        <v>24583</v>
      </c>
      <c r="D23" s="256">
        <v>1425</v>
      </c>
      <c r="E23" s="255">
        <v>23158</v>
      </c>
      <c r="F23" s="257">
        <v>8336.8799999999992</v>
      </c>
      <c r="G23" s="258">
        <v>14821.12</v>
      </c>
      <c r="H23" s="249">
        <v>12667</v>
      </c>
      <c r="I23" s="259">
        <v>2154.12</v>
      </c>
      <c r="J23" s="260">
        <v>0.94203311231338704</v>
      </c>
      <c r="K23" s="261">
        <v>1.17005763006237</v>
      </c>
      <c r="L23" s="234"/>
      <c r="M23" s="234"/>
      <c r="N23" s="234"/>
      <c r="O23" s="234"/>
    </row>
    <row r="24" spans="1:15" ht="15" customHeight="1" x14ac:dyDescent="0.35">
      <c r="A24" s="234"/>
      <c r="B24" s="262" t="s">
        <v>28</v>
      </c>
      <c r="C24" s="263">
        <v>24583</v>
      </c>
      <c r="D24" s="264">
        <v>1425</v>
      </c>
      <c r="E24" s="263">
        <v>23158</v>
      </c>
      <c r="F24" s="265">
        <v>8336.8799999999992</v>
      </c>
      <c r="G24" s="266">
        <v>14821.12</v>
      </c>
      <c r="H24" s="247">
        <v>12667</v>
      </c>
      <c r="I24" s="267">
        <v>2154.12</v>
      </c>
      <c r="J24" s="268">
        <v>0.94203311231338704</v>
      </c>
      <c r="K24" s="269">
        <v>1.17005763006237</v>
      </c>
      <c r="L24" s="234"/>
      <c r="M24" s="234"/>
      <c r="N24" s="234"/>
      <c r="O24" s="234"/>
    </row>
    <row r="25" spans="1:15" ht="14.25" customHeight="1" x14ac:dyDescent="0.35">
      <c r="A25" s="234"/>
      <c r="B25" s="235"/>
      <c r="C25" s="235"/>
      <c r="D25" s="235"/>
      <c r="E25" s="235"/>
      <c r="F25" s="235"/>
      <c r="G25" s="235"/>
      <c r="H25" s="235"/>
      <c r="I25" s="235"/>
      <c r="J25" s="235"/>
      <c r="K25" s="235"/>
      <c r="L25" s="234"/>
      <c r="M25" s="234"/>
      <c r="N25" s="234"/>
      <c r="O25" s="234"/>
    </row>
    <row r="26" spans="1:15" ht="21.75" customHeight="1" x14ac:dyDescent="0.35">
      <c r="A26" s="234"/>
      <c r="B26" s="252" t="s">
        <v>29</v>
      </c>
      <c r="C26" s="235"/>
      <c r="D26" s="235"/>
      <c r="E26" s="235"/>
      <c r="F26" s="235"/>
      <c r="G26" s="235"/>
      <c r="H26" s="235"/>
      <c r="I26" s="235"/>
      <c r="J26" s="235"/>
      <c r="K26" s="235"/>
      <c r="L26" s="234"/>
      <c r="M26" s="234"/>
      <c r="N26" s="234"/>
      <c r="O26" s="234"/>
    </row>
    <row r="27" spans="1:15" ht="15.75" customHeight="1" x14ac:dyDescent="0.35">
      <c r="A27" s="234"/>
      <c r="B27" s="237" t="s">
        <v>11</v>
      </c>
      <c r="C27" s="237" t="s">
        <v>12</v>
      </c>
      <c r="D27" s="237" t="s">
        <v>13</v>
      </c>
      <c r="E27" s="237" t="s">
        <v>14</v>
      </c>
      <c r="F27" s="237" t="s">
        <v>30</v>
      </c>
      <c r="G27" s="237" t="s">
        <v>4</v>
      </c>
      <c r="H27" s="237" t="s">
        <v>16</v>
      </c>
      <c r="I27" s="237" t="s">
        <v>7</v>
      </c>
      <c r="J27" s="237" t="s">
        <v>6</v>
      </c>
      <c r="K27" s="237" t="s">
        <v>5</v>
      </c>
      <c r="L27" s="234"/>
      <c r="M27" s="234"/>
      <c r="N27" s="234"/>
      <c r="O27" s="234"/>
    </row>
    <row r="28" spans="1:15" ht="15" customHeight="1" x14ac:dyDescent="0.35">
      <c r="A28" s="234"/>
      <c r="B28" s="254" t="s">
        <v>17</v>
      </c>
      <c r="C28" s="270">
        <v>25000</v>
      </c>
      <c r="D28" s="271">
        <v>1000</v>
      </c>
      <c r="E28" s="270">
        <v>24000</v>
      </c>
      <c r="F28" s="272">
        <v>8640</v>
      </c>
      <c r="G28" s="273">
        <v>15360</v>
      </c>
      <c r="H28" s="274">
        <v>12667</v>
      </c>
      <c r="I28" s="275">
        <v>2693</v>
      </c>
      <c r="J28" s="260">
        <v>0.96</v>
      </c>
      <c r="K28" s="261">
        <v>1.21259966842978</v>
      </c>
      <c r="L28" s="234"/>
      <c r="M28" s="234"/>
      <c r="N28" s="234"/>
      <c r="O28" s="234"/>
    </row>
    <row r="29" spans="1:15" ht="15" customHeight="1" x14ac:dyDescent="0.35">
      <c r="A29" s="234"/>
      <c r="B29" s="262" t="s">
        <v>18</v>
      </c>
      <c r="C29" s="276">
        <v>25000</v>
      </c>
      <c r="D29" s="277">
        <v>1000</v>
      </c>
      <c r="E29" s="276">
        <v>24000</v>
      </c>
      <c r="F29" s="278">
        <v>8640</v>
      </c>
      <c r="G29" s="279">
        <v>15360</v>
      </c>
      <c r="H29" s="280">
        <v>12667</v>
      </c>
      <c r="I29" s="281">
        <v>2693</v>
      </c>
      <c r="J29" s="268">
        <v>0.96</v>
      </c>
      <c r="K29" s="269">
        <v>1.21259966842978</v>
      </c>
      <c r="L29" s="234"/>
      <c r="M29" s="234"/>
      <c r="N29" s="234"/>
      <c r="O29" s="234"/>
    </row>
    <row r="30" spans="1:15" ht="15" customHeight="1" x14ac:dyDescent="0.35">
      <c r="A30" s="234"/>
      <c r="B30" s="254" t="s">
        <v>19</v>
      </c>
      <c r="C30" s="270">
        <v>25000</v>
      </c>
      <c r="D30" s="271">
        <v>1000</v>
      </c>
      <c r="E30" s="270">
        <v>24000</v>
      </c>
      <c r="F30" s="272">
        <v>8640</v>
      </c>
      <c r="G30" s="273">
        <v>15360</v>
      </c>
      <c r="H30" s="274">
        <v>12667</v>
      </c>
      <c r="I30" s="275">
        <v>2693</v>
      </c>
      <c r="J30" s="260">
        <v>0.96</v>
      </c>
      <c r="K30" s="261">
        <v>1.21259966842978</v>
      </c>
      <c r="L30" s="234"/>
      <c r="M30" s="234"/>
      <c r="N30" s="234"/>
      <c r="O30" s="234"/>
    </row>
    <row r="31" spans="1:15" ht="15" customHeight="1" x14ac:dyDescent="0.35">
      <c r="A31" s="234"/>
      <c r="B31" s="262" t="s">
        <v>20</v>
      </c>
      <c r="C31" s="276">
        <v>25000</v>
      </c>
      <c r="D31" s="277">
        <v>1000</v>
      </c>
      <c r="E31" s="276">
        <v>24000</v>
      </c>
      <c r="F31" s="278">
        <v>8640</v>
      </c>
      <c r="G31" s="279">
        <v>15360</v>
      </c>
      <c r="H31" s="280">
        <v>12667</v>
      </c>
      <c r="I31" s="281">
        <v>2693</v>
      </c>
      <c r="J31" s="268">
        <v>0.96</v>
      </c>
      <c r="K31" s="269">
        <v>1.21259966842978</v>
      </c>
      <c r="L31" s="234"/>
      <c r="M31" s="234"/>
      <c r="N31" s="234"/>
      <c r="O31" s="234"/>
    </row>
    <row r="32" spans="1:15" ht="15" customHeight="1" x14ac:dyDescent="0.35">
      <c r="A32" s="234"/>
      <c r="B32" s="254" t="s">
        <v>21</v>
      </c>
      <c r="C32" s="270">
        <v>25000</v>
      </c>
      <c r="D32" s="271">
        <v>1000</v>
      </c>
      <c r="E32" s="270">
        <v>24000</v>
      </c>
      <c r="F32" s="272">
        <v>8640</v>
      </c>
      <c r="G32" s="273">
        <v>15360</v>
      </c>
      <c r="H32" s="274">
        <v>12667</v>
      </c>
      <c r="I32" s="275">
        <v>2693</v>
      </c>
      <c r="J32" s="260">
        <v>0.96</v>
      </c>
      <c r="K32" s="261">
        <v>1.21259966842978</v>
      </c>
      <c r="L32" s="234"/>
      <c r="M32" s="234"/>
      <c r="N32" s="234"/>
      <c r="O32" s="234"/>
    </row>
    <row r="33" spans="1:15" ht="15" customHeight="1" x14ac:dyDescent="0.35">
      <c r="A33" s="234"/>
      <c r="B33" s="262" t="s">
        <v>22</v>
      </c>
      <c r="C33" s="276">
        <v>25000</v>
      </c>
      <c r="D33" s="277">
        <v>1000</v>
      </c>
      <c r="E33" s="276">
        <v>24000</v>
      </c>
      <c r="F33" s="278">
        <v>8640</v>
      </c>
      <c r="G33" s="279">
        <v>15360</v>
      </c>
      <c r="H33" s="280">
        <v>12667</v>
      </c>
      <c r="I33" s="281">
        <v>2693</v>
      </c>
      <c r="J33" s="268">
        <v>0.96</v>
      </c>
      <c r="K33" s="269">
        <v>1.21259966842978</v>
      </c>
      <c r="L33" s="234"/>
      <c r="M33" s="234"/>
      <c r="N33" s="234"/>
      <c r="O33" s="234"/>
    </row>
    <row r="34" spans="1:15" ht="15" customHeight="1" x14ac:dyDescent="0.35">
      <c r="A34" s="234"/>
      <c r="B34" s="254" t="s">
        <v>23</v>
      </c>
      <c r="C34" s="270">
        <v>25000</v>
      </c>
      <c r="D34" s="271">
        <v>1000</v>
      </c>
      <c r="E34" s="270">
        <v>24000</v>
      </c>
      <c r="F34" s="272">
        <v>8640</v>
      </c>
      <c r="G34" s="273">
        <v>15360</v>
      </c>
      <c r="H34" s="274">
        <v>12667</v>
      </c>
      <c r="I34" s="275">
        <v>2693</v>
      </c>
      <c r="J34" s="260">
        <v>0.96</v>
      </c>
      <c r="K34" s="261">
        <v>1.21259966842978</v>
      </c>
      <c r="L34" s="234"/>
      <c r="M34" s="234"/>
      <c r="N34" s="234"/>
      <c r="O34" s="234"/>
    </row>
    <row r="35" spans="1:15" ht="15" customHeight="1" x14ac:dyDescent="0.35">
      <c r="A35" s="234"/>
      <c r="B35" s="262" t="s">
        <v>24</v>
      </c>
      <c r="C35" s="276">
        <v>25000</v>
      </c>
      <c r="D35" s="277">
        <v>1000</v>
      </c>
      <c r="E35" s="276">
        <v>24000</v>
      </c>
      <c r="F35" s="278">
        <v>8640</v>
      </c>
      <c r="G35" s="279">
        <v>15360</v>
      </c>
      <c r="H35" s="280">
        <v>12667</v>
      </c>
      <c r="I35" s="281">
        <v>2693</v>
      </c>
      <c r="J35" s="268">
        <v>0.96</v>
      </c>
      <c r="K35" s="269">
        <v>1.21259966842978</v>
      </c>
      <c r="L35" s="234"/>
      <c r="M35" s="234"/>
      <c r="N35" s="234"/>
      <c r="O35" s="234"/>
    </row>
    <row r="36" spans="1:15" ht="15" customHeight="1" x14ac:dyDescent="0.35">
      <c r="A36" s="234"/>
      <c r="B36" s="254" t="s">
        <v>25</v>
      </c>
      <c r="C36" s="270">
        <v>25000</v>
      </c>
      <c r="D36" s="271">
        <v>1000</v>
      </c>
      <c r="E36" s="270">
        <v>24000</v>
      </c>
      <c r="F36" s="272">
        <v>8640</v>
      </c>
      <c r="G36" s="273">
        <v>15360</v>
      </c>
      <c r="H36" s="274">
        <v>12667</v>
      </c>
      <c r="I36" s="275">
        <v>2693</v>
      </c>
      <c r="J36" s="260">
        <v>0.96</v>
      </c>
      <c r="K36" s="261">
        <v>1.21259966842978</v>
      </c>
      <c r="L36" s="234"/>
      <c r="M36" s="234"/>
      <c r="N36" s="234"/>
      <c r="O36" s="234"/>
    </row>
    <row r="37" spans="1:15" ht="15" customHeight="1" x14ac:dyDescent="0.35">
      <c r="A37" s="234"/>
      <c r="B37" s="262" t="s">
        <v>26</v>
      </c>
      <c r="C37" s="276">
        <v>25000</v>
      </c>
      <c r="D37" s="277">
        <v>1000</v>
      </c>
      <c r="E37" s="276">
        <v>24000</v>
      </c>
      <c r="F37" s="278">
        <v>8640</v>
      </c>
      <c r="G37" s="279">
        <v>15360</v>
      </c>
      <c r="H37" s="280">
        <v>12667</v>
      </c>
      <c r="I37" s="281">
        <v>2693</v>
      </c>
      <c r="J37" s="268">
        <v>0.96</v>
      </c>
      <c r="K37" s="269">
        <v>1.21259966842978</v>
      </c>
      <c r="L37" s="234"/>
      <c r="M37" s="234"/>
      <c r="N37" s="234"/>
      <c r="O37" s="234"/>
    </row>
    <row r="38" spans="1:15" ht="15" customHeight="1" x14ac:dyDescent="0.35">
      <c r="A38" s="234"/>
      <c r="B38" s="254" t="s">
        <v>27</v>
      </c>
      <c r="C38" s="270">
        <v>25000</v>
      </c>
      <c r="D38" s="271">
        <v>1000</v>
      </c>
      <c r="E38" s="270">
        <v>24000</v>
      </c>
      <c r="F38" s="272">
        <v>8640</v>
      </c>
      <c r="G38" s="273">
        <v>15360</v>
      </c>
      <c r="H38" s="274">
        <v>12667</v>
      </c>
      <c r="I38" s="275">
        <v>2693</v>
      </c>
      <c r="J38" s="260">
        <v>0.96</v>
      </c>
      <c r="K38" s="261">
        <v>1.21259966842978</v>
      </c>
      <c r="L38" s="234"/>
      <c r="M38" s="234"/>
      <c r="N38" s="234"/>
      <c r="O38" s="234"/>
    </row>
    <row r="39" spans="1:15" ht="15" customHeight="1" x14ac:dyDescent="0.35">
      <c r="A39" s="234"/>
      <c r="B39" s="262" t="s">
        <v>28</v>
      </c>
      <c r="C39" s="276">
        <v>25000</v>
      </c>
      <c r="D39" s="277">
        <v>1000</v>
      </c>
      <c r="E39" s="276">
        <v>24000</v>
      </c>
      <c r="F39" s="278">
        <v>8640</v>
      </c>
      <c r="G39" s="279">
        <v>15360</v>
      </c>
      <c r="H39" s="280">
        <v>12667</v>
      </c>
      <c r="I39" s="281">
        <v>2693</v>
      </c>
      <c r="J39" s="268">
        <v>0.96</v>
      </c>
      <c r="K39" s="269">
        <v>1.21259966842978</v>
      </c>
      <c r="L39" s="234"/>
      <c r="M39" s="234"/>
      <c r="N39" s="234"/>
      <c r="O39" s="234"/>
    </row>
    <row r="40" spans="1:15" ht="15" customHeight="1" x14ac:dyDescent="0.35">
      <c r="A40" s="234"/>
      <c r="B40" s="236" t="s">
        <v>31</v>
      </c>
      <c r="C40" s="282">
        <v>300000</v>
      </c>
      <c r="D40" s="282">
        <v>12000</v>
      </c>
      <c r="E40" s="282">
        <v>288000</v>
      </c>
      <c r="F40" s="282">
        <v>103680</v>
      </c>
      <c r="G40" s="282">
        <v>184320</v>
      </c>
      <c r="H40" s="282">
        <v>152004</v>
      </c>
      <c r="I40" s="282">
        <v>32316</v>
      </c>
      <c r="J40" s="283">
        <v>0.96</v>
      </c>
      <c r="K40" s="284">
        <v>1.21259966842978</v>
      </c>
      <c r="L40" s="234"/>
      <c r="M40" s="234"/>
      <c r="N40" s="234"/>
      <c r="O40" s="234"/>
    </row>
    <row r="41" spans="1:15" ht="14.25" customHeight="1" x14ac:dyDescent="0.35">
      <c r="A41" s="234"/>
      <c r="B41" s="235"/>
      <c r="C41" s="235"/>
      <c r="D41" s="235"/>
      <c r="E41" s="235"/>
      <c r="F41" s="235"/>
      <c r="G41" s="235"/>
      <c r="H41" s="235"/>
      <c r="I41" s="235"/>
      <c r="J41" s="235"/>
      <c r="K41" s="235"/>
      <c r="L41" s="234"/>
      <c r="M41" s="234"/>
      <c r="N41" s="234"/>
      <c r="O41" s="234"/>
    </row>
    <row r="42" spans="1:15" ht="21.75" customHeight="1" x14ac:dyDescent="0.35">
      <c r="A42" s="234"/>
      <c r="B42" s="236" t="s">
        <v>32</v>
      </c>
      <c r="C42" s="235"/>
      <c r="D42" s="235"/>
      <c r="E42" s="235"/>
      <c r="F42" s="235"/>
      <c r="G42" s="235"/>
      <c r="H42" s="235"/>
      <c r="I42" s="235"/>
      <c r="J42" s="235"/>
      <c r="K42" s="235"/>
      <c r="L42" s="234"/>
      <c r="M42" s="234"/>
      <c r="N42" s="234"/>
      <c r="O42" s="234"/>
    </row>
    <row r="43" spans="1:15" ht="15.75" customHeight="1" x14ac:dyDescent="0.35">
      <c r="A43" s="234"/>
      <c r="B43" s="237" t="s">
        <v>33</v>
      </c>
      <c r="C43" s="237" t="s">
        <v>6</v>
      </c>
      <c r="D43" s="237" t="s">
        <v>4</v>
      </c>
      <c r="E43" s="237" t="s">
        <v>5</v>
      </c>
      <c r="F43" s="237" t="s">
        <v>34</v>
      </c>
      <c r="G43" s="237" t="s">
        <v>7</v>
      </c>
      <c r="H43" s="237" t="s">
        <v>35</v>
      </c>
      <c r="I43" s="237" t="s">
        <v>36</v>
      </c>
      <c r="J43" s="235"/>
      <c r="K43" s="235"/>
      <c r="L43" s="234"/>
      <c r="M43" s="234"/>
      <c r="N43" s="234"/>
      <c r="O43" s="234"/>
    </row>
    <row r="44" spans="1:15" ht="15.75" customHeight="1" x14ac:dyDescent="0.35">
      <c r="A44" s="234"/>
      <c r="B44" s="238" t="s">
        <v>37</v>
      </c>
      <c r="C44" s="260">
        <v>0.9375</v>
      </c>
      <c r="D44" s="285">
        <v>25200</v>
      </c>
      <c r="E44" s="261">
        <v>1.35</v>
      </c>
      <c r="F44" s="255">
        <v>42000</v>
      </c>
      <c r="G44" s="259">
        <v>6533.3333333333403</v>
      </c>
      <c r="H44" s="245">
        <v>6.2E-2</v>
      </c>
      <c r="I44" s="286" t="s">
        <v>38</v>
      </c>
      <c r="J44" s="235"/>
      <c r="K44" s="235"/>
      <c r="L44" s="234"/>
      <c r="M44" s="234"/>
      <c r="N44" s="234"/>
      <c r="O44" s="234"/>
    </row>
    <row r="45" spans="1:15" ht="15.75" customHeight="1" x14ac:dyDescent="0.35">
      <c r="A45" s="234"/>
      <c r="B45" s="241" t="s">
        <v>39</v>
      </c>
      <c r="C45" s="268">
        <v>0.98611111111111105</v>
      </c>
      <c r="D45" s="287">
        <v>42915.555555555598</v>
      </c>
      <c r="E45" s="269">
        <v>1.52</v>
      </c>
      <c r="F45" s="263">
        <v>68000</v>
      </c>
      <c r="G45" s="267">
        <v>14681.637426900599</v>
      </c>
      <c r="H45" s="288">
        <v>7.0999999999999994E-2</v>
      </c>
      <c r="I45" s="289" t="s">
        <v>38</v>
      </c>
      <c r="J45" s="235"/>
      <c r="K45" s="235"/>
      <c r="L45" s="234"/>
      <c r="M45" s="234"/>
      <c r="N45" s="234"/>
      <c r="O45" s="234"/>
    </row>
    <row r="46" spans="1:15" ht="15.75" customHeight="1" x14ac:dyDescent="0.35">
      <c r="A46" s="234"/>
      <c r="B46" s="238" t="s">
        <v>40</v>
      </c>
      <c r="C46" s="260">
        <v>0.875</v>
      </c>
      <c r="D46" s="285">
        <v>19600</v>
      </c>
      <c r="E46" s="261">
        <v>1.18</v>
      </c>
      <c r="F46" s="255">
        <v>35000</v>
      </c>
      <c r="G46" s="256">
        <v>2989.8305084745798</v>
      </c>
      <c r="H46" s="245">
        <v>5.8000000000000003E-2</v>
      </c>
      <c r="I46" s="290" t="s">
        <v>41</v>
      </c>
      <c r="J46" s="235"/>
      <c r="K46" s="235"/>
      <c r="L46" s="234"/>
      <c r="M46" s="234"/>
      <c r="N46" s="234"/>
      <c r="O46" s="234"/>
    </row>
    <row r="47" spans="1:15" ht="15.75" customHeight="1" x14ac:dyDescent="0.35">
      <c r="A47" s="234"/>
      <c r="B47" s="241" t="s">
        <v>42</v>
      </c>
      <c r="C47" s="268">
        <v>1</v>
      </c>
      <c r="D47" s="287">
        <v>60800</v>
      </c>
      <c r="E47" s="269">
        <v>1.67</v>
      </c>
      <c r="F47" s="263">
        <v>95000</v>
      </c>
      <c r="G47" s="267">
        <v>24392.8143712575</v>
      </c>
      <c r="H47" s="288">
        <v>7.8E-2</v>
      </c>
      <c r="I47" s="289" t="s">
        <v>38</v>
      </c>
      <c r="J47" s="235"/>
      <c r="K47" s="235"/>
      <c r="L47" s="234"/>
      <c r="M47" s="234"/>
      <c r="N47" s="234"/>
      <c r="O47" s="234"/>
    </row>
    <row r="48" spans="1:15" ht="15.75" customHeight="1" x14ac:dyDescent="0.35">
      <c r="A48" s="234"/>
      <c r="B48" s="238" t="s">
        <v>43</v>
      </c>
      <c r="C48" s="260">
        <v>0.91666666666666696</v>
      </c>
      <c r="D48" s="285">
        <v>32266.666666666701</v>
      </c>
      <c r="E48" s="261">
        <v>1.29</v>
      </c>
      <c r="F48" s="255">
        <v>55000</v>
      </c>
      <c r="G48" s="259">
        <v>7253.7467700258403</v>
      </c>
      <c r="H48" s="245">
        <v>6.5000000000000002E-2</v>
      </c>
      <c r="I48" s="286" t="s">
        <v>38</v>
      </c>
      <c r="J48" s="235"/>
      <c r="K48" s="235"/>
      <c r="L48" s="234"/>
      <c r="M48" s="234"/>
      <c r="N48" s="234"/>
      <c r="O48" s="234"/>
    </row>
    <row r="49" spans="1:15" ht="14.25" customHeight="1" x14ac:dyDescent="0.35">
      <c r="A49" s="234"/>
      <c r="B49" s="235"/>
      <c r="C49" s="235"/>
      <c r="D49" s="235"/>
      <c r="E49" s="235"/>
      <c r="F49" s="235"/>
      <c r="G49" s="235"/>
      <c r="H49" s="235"/>
      <c r="I49" s="235"/>
      <c r="J49" s="235"/>
      <c r="K49" s="235"/>
      <c r="L49" s="234"/>
      <c r="M49" s="234"/>
      <c r="N49" s="234"/>
      <c r="O49" s="234"/>
    </row>
    <row r="50" spans="1:15" ht="21.75" customHeight="1" x14ac:dyDescent="0.35">
      <c r="A50" s="234"/>
      <c r="B50" s="236" t="s">
        <v>44</v>
      </c>
      <c r="C50" s="235"/>
      <c r="D50" s="235"/>
      <c r="E50" s="235"/>
      <c r="F50" s="235"/>
      <c r="G50" s="235"/>
      <c r="H50" s="235"/>
      <c r="I50" s="235"/>
      <c r="J50" s="235"/>
      <c r="K50" s="235"/>
      <c r="L50" s="234"/>
      <c r="M50" s="234"/>
      <c r="N50" s="234"/>
      <c r="O50" s="234"/>
    </row>
    <row r="51" spans="1:15" ht="15.75" customHeight="1" x14ac:dyDescent="0.35">
      <c r="A51" s="234"/>
      <c r="B51" s="291" t="s">
        <v>45</v>
      </c>
      <c r="C51" s="291" t="s">
        <v>46</v>
      </c>
      <c r="D51" s="235"/>
      <c r="E51" s="235"/>
      <c r="F51" s="235"/>
      <c r="G51" s="235"/>
      <c r="H51" s="235"/>
      <c r="I51" s="235"/>
      <c r="J51" s="235"/>
      <c r="K51" s="235"/>
      <c r="L51" s="234"/>
      <c r="M51" s="234"/>
      <c r="N51" s="234"/>
      <c r="O51" s="234"/>
    </row>
    <row r="52" spans="1:15" ht="39.75" customHeight="1" x14ac:dyDescent="0.35">
      <c r="A52" s="234"/>
      <c r="B52" s="292" t="s">
        <v>47</v>
      </c>
      <c r="C52" s="293" t="s">
        <v>48</v>
      </c>
      <c r="D52" s="235"/>
      <c r="E52" s="235"/>
      <c r="F52" s="235"/>
      <c r="G52" s="235"/>
      <c r="H52" s="235"/>
      <c r="I52" s="235"/>
      <c r="J52" s="235"/>
      <c r="K52" s="235"/>
      <c r="L52" s="234"/>
      <c r="M52" s="234"/>
      <c r="N52" s="234"/>
      <c r="O52" s="234"/>
    </row>
    <row r="53" spans="1:15" ht="39.75" customHeight="1" x14ac:dyDescent="0.35">
      <c r="A53" s="234"/>
      <c r="B53" s="294" t="s">
        <v>49</v>
      </c>
      <c r="C53" s="295" t="s">
        <v>50</v>
      </c>
      <c r="D53" s="235"/>
      <c r="E53" s="235"/>
      <c r="F53" s="235"/>
      <c r="G53" s="235"/>
      <c r="H53" s="235"/>
      <c r="I53" s="235"/>
      <c r="J53" s="235"/>
      <c r="K53" s="235"/>
      <c r="L53" s="234"/>
      <c r="M53" s="234"/>
      <c r="N53" s="234"/>
      <c r="O53" s="234"/>
    </row>
    <row r="54" spans="1:15" ht="39.75" customHeight="1" x14ac:dyDescent="0.35">
      <c r="A54" s="234"/>
      <c r="B54" s="292" t="s">
        <v>7</v>
      </c>
      <c r="C54" s="293" t="s">
        <v>51</v>
      </c>
      <c r="D54" s="235"/>
      <c r="E54" s="235"/>
      <c r="F54" s="235"/>
      <c r="G54" s="235"/>
      <c r="H54" s="235"/>
      <c r="I54" s="235"/>
      <c r="J54" s="235"/>
      <c r="K54" s="235"/>
      <c r="L54" s="234"/>
      <c r="M54" s="234"/>
      <c r="N54" s="234"/>
      <c r="O54" s="234"/>
    </row>
    <row r="55" spans="1:15" ht="39.75" customHeight="1" x14ac:dyDescent="0.35">
      <c r="A55" s="234"/>
      <c r="B55" s="294" t="s">
        <v>6</v>
      </c>
      <c r="C55" s="295" t="s">
        <v>52</v>
      </c>
      <c r="D55" s="235"/>
      <c r="E55" s="235"/>
      <c r="F55" s="235"/>
      <c r="G55" s="235"/>
      <c r="H55" s="235"/>
      <c r="I55" s="235"/>
      <c r="J55" s="235"/>
      <c r="K55" s="235"/>
      <c r="L55" s="234"/>
      <c r="M55" s="234"/>
      <c r="N55" s="234"/>
      <c r="O55" s="234"/>
    </row>
    <row r="56" spans="1:15" ht="39.75" customHeight="1" x14ac:dyDescent="0.35">
      <c r="A56" s="234"/>
      <c r="B56" s="292" t="s">
        <v>35</v>
      </c>
      <c r="C56" s="293" t="s">
        <v>53</v>
      </c>
      <c r="D56" s="235"/>
      <c r="E56" s="235"/>
      <c r="F56" s="235"/>
      <c r="G56" s="235"/>
      <c r="H56" s="235"/>
      <c r="I56" s="235"/>
      <c r="J56" s="235"/>
      <c r="K56" s="235"/>
      <c r="L56" s="234"/>
      <c r="M56" s="234"/>
      <c r="N56" s="234"/>
      <c r="O56" s="234"/>
    </row>
    <row r="57" spans="1:15" ht="39.75" customHeight="1" x14ac:dyDescent="0.35">
      <c r="A57" s="234"/>
      <c r="B57" s="294" t="s">
        <v>54</v>
      </c>
      <c r="C57" s="295" t="s">
        <v>55</v>
      </c>
      <c r="D57" s="235"/>
      <c r="E57" s="235"/>
      <c r="F57" s="235"/>
      <c r="G57" s="235"/>
      <c r="H57" s="235"/>
      <c r="I57" s="235"/>
      <c r="J57" s="235"/>
      <c r="K57" s="235"/>
      <c r="L57" s="234"/>
      <c r="M57" s="234"/>
      <c r="N57" s="234"/>
      <c r="O57" s="234"/>
    </row>
    <row r="58" spans="1:15" ht="14.25" customHeight="1" x14ac:dyDescent="0.35">
      <c r="A58" s="234"/>
      <c r="B58" s="235"/>
      <c r="C58" s="235"/>
      <c r="D58" s="235"/>
      <c r="E58" s="235"/>
      <c r="F58" s="235"/>
      <c r="G58" s="235"/>
      <c r="H58" s="235"/>
      <c r="I58" s="235"/>
      <c r="J58" s="235"/>
      <c r="K58" s="235"/>
      <c r="L58" s="234"/>
      <c r="M58" s="234"/>
      <c r="N58" s="234"/>
      <c r="O58" s="234"/>
    </row>
    <row r="59" spans="1:15" ht="21.75" customHeight="1" x14ac:dyDescent="0.35">
      <c r="A59" s="234"/>
      <c r="B59" s="236" t="s">
        <v>56</v>
      </c>
      <c r="C59" s="235"/>
      <c r="D59" s="235"/>
      <c r="E59" s="235"/>
      <c r="F59" s="235"/>
      <c r="G59" s="235"/>
      <c r="H59" s="235"/>
      <c r="I59" s="235"/>
      <c r="J59" s="235"/>
      <c r="K59" s="235"/>
      <c r="L59" s="234"/>
      <c r="M59" s="234"/>
      <c r="N59" s="234"/>
      <c r="O59" s="234"/>
    </row>
    <row r="60" spans="1:15" ht="15.75" customHeight="1" x14ac:dyDescent="0.35">
      <c r="A60" s="234"/>
      <c r="B60" s="291" t="s">
        <v>57</v>
      </c>
      <c r="C60" s="291" t="s">
        <v>58</v>
      </c>
      <c r="D60" s="291" t="s">
        <v>59</v>
      </c>
      <c r="E60" s="235"/>
      <c r="F60" s="235"/>
      <c r="G60" s="235"/>
      <c r="H60" s="235"/>
      <c r="I60" s="235"/>
      <c r="J60" s="235"/>
      <c r="K60" s="235"/>
      <c r="L60" s="234"/>
      <c r="M60" s="234"/>
      <c r="N60" s="234"/>
      <c r="O60" s="234"/>
    </row>
    <row r="61" spans="1:15" ht="42" customHeight="1" x14ac:dyDescent="0.35">
      <c r="A61" s="234"/>
      <c r="B61" s="296" t="s">
        <v>60</v>
      </c>
      <c r="C61" s="238" t="s">
        <v>5</v>
      </c>
      <c r="D61" s="293" t="s">
        <v>61</v>
      </c>
      <c r="E61" s="235"/>
      <c r="F61" s="235"/>
      <c r="G61" s="235"/>
      <c r="H61" s="235"/>
      <c r="I61" s="235"/>
      <c r="J61" s="235"/>
      <c r="K61" s="235"/>
      <c r="L61" s="234"/>
      <c r="M61" s="234"/>
      <c r="N61" s="234"/>
      <c r="O61" s="234"/>
    </row>
    <row r="62" spans="1:15" ht="42" customHeight="1" x14ac:dyDescent="0.35">
      <c r="A62" s="234"/>
      <c r="B62" s="297" t="s">
        <v>60</v>
      </c>
      <c r="C62" s="241" t="s">
        <v>12</v>
      </c>
      <c r="D62" s="295" t="s">
        <v>62</v>
      </c>
      <c r="E62" s="235"/>
      <c r="F62" s="235"/>
      <c r="G62" s="235"/>
      <c r="H62" s="235"/>
      <c r="I62" s="235"/>
      <c r="J62" s="235"/>
      <c r="K62" s="235"/>
      <c r="L62" s="234"/>
      <c r="M62" s="234"/>
      <c r="N62" s="234"/>
      <c r="O62" s="234"/>
    </row>
    <row r="63" spans="1:15" ht="42" customHeight="1" x14ac:dyDescent="0.35">
      <c r="A63" s="234"/>
      <c r="B63" s="298" t="s">
        <v>63</v>
      </c>
      <c r="C63" s="238" t="s">
        <v>6</v>
      </c>
      <c r="D63" s="293" t="s">
        <v>64</v>
      </c>
      <c r="E63" s="235"/>
      <c r="F63" s="235"/>
      <c r="G63" s="235"/>
      <c r="H63" s="235"/>
      <c r="I63" s="235"/>
      <c r="J63" s="235"/>
      <c r="K63" s="235"/>
      <c r="L63" s="234"/>
      <c r="M63" s="234"/>
      <c r="N63" s="234"/>
      <c r="O63" s="234"/>
    </row>
    <row r="64" spans="1:15" ht="14.25" customHeight="1" x14ac:dyDescent="0.35">
      <c r="A64" s="234"/>
      <c r="B64" s="235"/>
      <c r="C64" s="235"/>
      <c r="D64" s="235"/>
      <c r="E64" s="235"/>
      <c r="F64" s="235"/>
      <c r="G64" s="235"/>
      <c r="H64" s="235"/>
      <c r="I64" s="235"/>
      <c r="J64" s="235"/>
      <c r="K64" s="235"/>
      <c r="L64" s="234"/>
      <c r="M64" s="234"/>
      <c r="N64" s="234"/>
      <c r="O64" s="234"/>
    </row>
    <row r="65" spans="1:15" ht="21.75" customHeight="1" x14ac:dyDescent="0.35">
      <c r="A65" s="234"/>
      <c r="B65" s="236" t="s">
        <v>65</v>
      </c>
      <c r="C65" s="235"/>
      <c r="D65" s="235"/>
      <c r="E65" s="235"/>
      <c r="F65" s="235"/>
      <c r="G65" s="235"/>
      <c r="H65" s="235"/>
      <c r="I65" s="235"/>
      <c r="J65" s="235"/>
      <c r="K65" s="235"/>
      <c r="L65" s="234"/>
      <c r="M65" s="234"/>
      <c r="N65" s="234"/>
      <c r="O65" s="234"/>
    </row>
    <row r="66" spans="1:15" ht="15.75" customHeight="1" x14ac:dyDescent="0.35">
      <c r="A66" s="234"/>
      <c r="B66" s="237" t="s">
        <v>66</v>
      </c>
      <c r="C66" s="291" t="s">
        <v>67</v>
      </c>
      <c r="D66" s="235"/>
      <c r="E66" s="235"/>
      <c r="F66" s="235"/>
      <c r="G66" s="235"/>
      <c r="H66" s="235"/>
      <c r="I66" s="235"/>
      <c r="J66" s="235"/>
      <c r="K66" s="235"/>
      <c r="L66" s="234"/>
      <c r="M66" s="234"/>
      <c r="N66" s="234"/>
      <c r="O66" s="234"/>
    </row>
    <row r="67" spans="1:15" ht="30" customHeight="1" x14ac:dyDescent="0.35">
      <c r="A67" s="234"/>
      <c r="B67" s="299" t="s">
        <v>68</v>
      </c>
      <c r="C67" s="300" t="s">
        <v>69</v>
      </c>
      <c r="D67" s="235"/>
      <c r="E67" s="235"/>
      <c r="F67" s="235"/>
      <c r="G67" s="235"/>
      <c r="H67" s="235"/>
      <c r="I67" s="235"/>
      <c r="J67" s="235"/>
      <c r="K67" s="235"/>
      <c r="L67" s="234"/>
      <c r="M67" s="234"/>
      <c r="N67" s="234"/>
      <c r="O67" s="234"/>
    </row>
    <row r="68" spans="1:15" ht="30" customHeight="1" x14ac:dyDescent="0.35">
      <c r="A68" s="234"/>
      <c r="B68" s="301" t="s">
        <v>70</v>
      </c>
      <c r="C68" s="302" t="s">
        <v>71</v>
      </c>
      <c r="D68" s="235"/>
      <c r="E68" s="235"/>
      <c r="F68" s="235"/>
      <c r="G68" s="235"/>
      <c r="H68" s="235"/>
      <c r="I68" s="235"/>
      <c r="J68" s="235"/>
      <c r="K68" s="235"/>
      <c r="L68" s="234"/>
      <c r="M68" s="234"/>
      <c r="N68" s="234"/>
      <c r="O68" s="234"/>
    </row>
    <row r="69" spans="1:15" ht="30" customHeight="1" x14ac:dyDescent="0.35">
      <c r="A69" s="234"/>
      <c r="B69" s="299" t="s">
        <v>72</v>
      </c>
      <c r="C69" s="300" t="s">
        <v>73</v>
      </c>
      <c r="D69" s="235"/>
      <c r="E69" s="235"/>
      <c r="F69" s="235"/>
      <c r="G69" s="235"/>
      <c r="H69" s="235"/>
      <c r="I69" s="235"/>
      <c r="J69" s="235"/>
      <c r="K69" s="235"/>
      <c r="L69" s="234"/>
      <c r="M69" s="234"/>
      <c r="N69" s="234"/>
      <c r="O69" s="234"/>
    </row>
    <row r="70" spans="1:15" ht="30" customHeight="1" x14ac:dyDescent="0.35">
      <c r="A70" s="234"/>
      <c r="B70" s="301" t="s">
        <v>74</v>
      </c>
      <c r="C70" s="302" t="s">
        <v>75</v>
      </c>
      <c r="D70" s="235"/>
      <c r="E70" s="235"/>
      <c r="F70" s="235"/>
      <c r="G70" s="235"/>
      <c r="H70" s="235"/>
      <c r="I70" s="235"/>
      <c r="J70" s="235"/>
      <c r="K70" s="235"/>
      <c r="L70" s="234"/>
      <c r="M70" s="234"/>
      <c r="N70" s="234"/>
      <c r="O70" s="234"/>
    </row>
    <row r="71" spans="1:15" ht="14.25" customHeight="1" x14ac:dyDescent="0.35">
      <c r="A71" s="234"/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4"/>
      <c r="M71" s="234"/>
      <c r="N71" s="234"/>
      <c r="O71" s="234"/>
    </row>
    <row r="72" spans="1:15" ht="14.25" customHeight="1" x14ac:dyDescent="0.35">
      <c r="A72" s="234"/>
      <c r="B72" s="235"/>
      <c r="C72" s="235"/>
      <c r="D72" s="235"/>
      <c r="E72" s="235"/>
      <c r="F72" s="235"/>
      <c r="G72" s="235"/>
      <c r="H72" s="235"/>
      <c r="I72" s="235"/>
      <c r="J72" s="235"/>
      <c r="K72" s="235"/>
      <c r="L72" s="234"/>
      <c r="M72" s="234"/>
      <c r="N72" s="234"/>
      <c r="O72" s="234"/>
    </row>
    <row r="73" spans="1:15" ht="14.25" customHeight="1" x14ac:dyDescent="0.35">
      <c r="A73" s="234"/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4"/>
      <c r="M73" s="234"/>
      <c r="N73" s="234"/>
      <c r="O73" s="234"/>
    </row>
    <row r="74" spans="1:15" ht="14.25" customHeight="1" x14ac:dyDescent="0.35">
      <c r="A74" s="234"/>
      <c r="B74" s="235"/>
      <c r="C74" s="235"/>
      <c r="D74" s="235"/>
      <c r="E74" s="235"/>
      <c r="F74" s="235"/>
      <c r="G74" s="235"/>
      <c r="H74" s="235"/>
      <c r="I74" s="235"/>
      <c r="J74" s="235"/>
      <c r="K74" s="235"/>
      <c r="L74" s="234"/>
      <c r="M74" s="234"/>
      <c r="N74" s="234"/>
      <c r="O74" s="234"/>
    </row>
    <row r="75" spans="1:15" ht="14.25" customHeight="1" x14ac:dyDescent="0.35">
      <c r="A75" s="234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4"/>
      <c r="M75" s="234"/>
      <c r="N75" s="234"/>
      <c r="O75" s="234"/>
    </row>
    <row r="76" spans="1:15" ht="14.25" customHeight="1" x14ac:dyDescent="0.35">
      <c r="A76" s="234"/>
      <c r="B76" s="235"/>
      <c r="C76" s="235"/>
      <c r="D76" s="235"/>
      <c r="E76" s="235"/>
      <c r="F76" s="235"/>
      <c r="G76" s="235"/>
      <c r="H76" s="235"/>
      <c r="I76" s="235"/>
      <c r="J76" s="235"/>
      <c r="K76" s="235"/>
      <c r="L76" s="234"/>
      <c r="M76" s="234"/>
      <c r="N76" s="234"/>
      <c r="O76" s="234"/>
    </row>
    <row r="77" spans="1:15" ht="14.25" customHeight="1" x14ac:dyDescent="0.35">
      <c r="A77" s="234"/>
      <c r="B77" s="235"/>
      <c r="C77" s="235"/>
      <c r="D77" s="235"/>
      <c r="E77" s="235"/>
      <c r="F77" s="235"/>
      <c r="G77" s="235"/>
      <c r="H77" s="235"/>
      <c r="I77" s="235"/>
      <c r="J77" s="235"/>
      <c r="K77" s="235"/>
      <c r="L77" s="234"/>
      <c r="M77" s="234"/>
      <c r="N77" s="234"/>
      <c r="O77" s="234"/>
    </row>
    <row r="78" spans="1:15" ht="14.25" customHeight="1" x14ac:dyDescent="0.35">
      <c r="A78" s="234"/>
      <c r="B78" s="235"/>
      <c r="C78" s="235"/>
      <c r="D78" s="235"/>
      <c r="E78" s="235"/>
      <c r="F78" s="235"/>
      <c r="G78" s="235"/>
      <c r="H78" s="235"/>
      <c r="I78" s="235"/>
      <c r="J78" s="235"/>
      <c r="K78" s="235"/>
      <c r="L78" s="234"/>
      <c r="M78" s="234"/>
      <c r="N78" s="234"/>
      <c r="O78" s="234"/>
    </row>
    <row r="79" spans="1:15" ht="14.25" customHeight="1" x14ac:dyDescent="0.35">
      <c r="A79" s="234"/>
      <c r="B79" s="235"/>
      <c r="C79" s="235"/>
      <c r="D79" s="235"/>
      <c r="E79" s="235"/>
      <c r="F79" s="235"/>
      <c r="G79" s="235"/>
      <c r="H79" s="235"/>
      <c r="I79" s="235"/>
      <c r="J79" s="235"/>
      <c r="K79" s="235"/>
      <c r="L79" s="234"/>
      <c r="M79" s="234"/>
      <c r="N79" s="234"/>
      <c r="O79" s="234"/>
    </row>
    <row r="80" spans="1:15" ht="14.25" customHeight="1" x14ac:dyDescent="0.35">
      <c r="A80" s="234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4"/>
      <c r="M80" s="234"/>
      <c r="N80" s="234"/>
      <c r="O80" s="234"/>
    </row>
    <row r="81" spans="1:15" ht="14.25" customHeight="1" x14ac:dyDescent="0.35">
      <c r="A81" s="234"/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4"/>
      <c r="M81" s="234"/>
      <c r="N81" s="234"/>
      <c r="O81" s="234"/>
    </row>
    <row r="82" spans="1:15" ht="14.25" customHeight="1" x14ac:dyDescent="0.35">
      <c r="A82" s="234"/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4"/>
      <c r="M82" s="234"/>
      <c r="N82" s="234"/>
      <c r="O82" s="234"/>
    </row>
    <row r="83" spans="1:15" ht="14.25" customHeight="1" x14ac:dyDescent="0.35">
      <c r="A83" s="234"/>
      <c r="B83" s="235"/>
      <c r="C83" s="235"/>
      <c r="D83" s="235"/>
      <c r="E83" s="235"/>
      <c r="F83" s="235"/>
      <c r="G83" s="235"/>
      <c r="H83" s="235"/>
      <c r="I83" s="235"/>
      <c r="J83" s="235"/>
      <c r="K83" s="235"/>
      <c r="L83" s="234"/>
      <c r="M83" s="234"/>
      <c r="N83" s="234"/>
      <c r="O83" s="234"/>
    </row>
    <row r="84" spans="1:15" ht="14.25" customHeight="1" x14ac:dyDescent="0.35">
      <c r="A84" s="234"/>
      <c r="B84" s="235"/>
      <c r="C84" s="235"/>
      <c r="D84" s="235"/>
      <c r="E84" s="235"/>
      <c r="F84" s="235"/>
      <c r="G84" s="235"/>
      <c r="H84" s="235"/>
      <c r="I84" s="235"/>
      <c r="J84" s="235"/>
      <c r="K84" s="235"/>
      <c r="L84" s="234"/>
      <c r="M84" s="234"/>
      <c r="N84" s="234"/>
      <c r="O84" s="234"/>
    </row>
    <row r="85" spans="1:15" ht="14.25" customHeight="1" x14ac:dyDescent="0.35">
      <c r="A85" s="234"/>
      <c r="B85" s="235"/>
      <c r="C85" s="235"/>
      <c r="D85" s="235"/>
      <c r="E85" s="235"/>
      <c r="F85" s="235"/>
      <c r="G85" s="235"/>
      <c r="H85" s="235"/>
      <c r="I85" s="235"/>
      <c r="J85" s="235"/>
      <c r="K85" s="235"/>
      <c r="L85" s="234"/>
      <c r="M85" s="234"/>
      <c r="N85" s="234"/>
      <c r="O85" s="234"/>
    </row>
    <row r="86" spans="1:15" ht="14.25" customHeight="1" x14ac:dyDescent="0.35">
      <c r="A86" s="234"/>
      <c r="B86" s="234"/>
      <c r="C86" s="234"/>
      <c r="D86" s="234"/>
      <c r="E86" s="234"/>
      <c r="F86" s="234"/>
      <c r="G86" s="234"/>
      <c r="H86" s="234"/>
      <c r="I86" s="234"/>
      <c r="J86" s="234"/>
      <c r="K86" s="234"/>
      <c r="L86" s="234"/>
      <c r="M86" s="234"/>
      <c r="N86" s="234"/>
      <c r="O86" s="234"/>
    </row>
    <row r="87" spans="1:15" ht="14.25" customHeight="1" x14ac:dyDescent="0.35">
      <c r="A87" s="234"/>
      <c r="B87" s="234"/>
      <c r="C87" s="234"/>
      <c r="D87" s="234"/>
      <c r="E87" s="234"/>
      <c r="F87" s="234"/>
      <c r="G87" s="234"/>
      <c r="H87" s="234"/>
      <c r="I87" s="234"/>
      <c r="J87" s="234"/>
      <c r="K87" s="234"/>
      <c r="L87" s="234"/>
      <c r="M87" s="234"/>
      <c r="N87" s="234"/>
      <c r="O87" s="234"/>
    </row>
    <row r="88" spans="1:15" ht="14.25" customHeight="1" x14ac:dyDescent="0.35">
      <c r="A88" s="234"/>
      <c r="B88" s="234"/>
      <c r="C88" s="234"/>
      <c r="D88" s="234"/>
      <c r="E88" s="234"/>
      <c r="F88" s="234"/>
      <c r="G88" s="234"/>
      <c r="H88" s="234"/>
      <c r="I88" s="234"/>
      <c r="J88" s="234"/>
      <c r="K88" s="234"/>
      <c r="L88" s="234"/>
      <c r="M88" s="234"/>
      <c r="N88" s="234"/>
      <c r="O88" s="234"/>
    </row>
    <row r="89" spans="1:15" ht="14.25" customHeight="1" x14ac:dyDescent="0.35">
      <c r="A89" s="234"/>
      <c r="B89" s="234"/>
      <c r="C89" s="234"/>
      <c r="D89" s="234"/>
      <c r="E89" s="234"/>
      <c r="F89" s="234"/>
      <c r="G89" s="234"/>
      <c r="H89" s="234"/>
      <c r="I89" s="234"/>
      <c r="J89" s="234"/>
      <c r="K89" s="234"/>
      <c r="L89" s="234"/>
      <c r="M89" s="234"/>
      <c r="N89" s="234"/>
      <c r="O89" s="234"/>
    </row>
    <row r="90" spans="1:15" ht="14.25" customHeight="1" x14ac:dyDescent="0.35">
      <c r="A90" s="234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</row>
    <row r="91" spans="1:15" ht="14.25" customHeight="1" x14ac:dyDescent="0.35">
      <c r="A91" s="234"/>
      <c r="B91" s="234"/>
      <c r="C91" s="234"/>
      <c r="D91" s="234"/>
      <c r="E91" s="234"/>
      <c r="F91" s="234"/>
      <c r="G91" s="234"/>
      <c r="H91" s="234"/>
      <c r="I91" s="234"/>
      <c r="J91" s="234"/>
      <c r="K91" s="234"/>
      <c r="L91" s="234"/>
      <c r="M91" s="234"/>
      <c r="N91" s="234"/>
      <c r="O91" s="234"/>
    </row>
    <row r="92" spans="1:15" ht="14.25" customHeight="1" x14ac:dyDescent="0.35">
      <c r="A92" s="234"/>
      <c r="B92" s="234"/>
      <c r="C92" s="234"/>
      <c r="D92" s="234"/>
      <c r="E92" s="234"/>
      <c r="F92" s="234"/>
      <c r="G92" s="234"/>
      <c r="H92" s="234"/>
      <c r="I92" s="234"/>
      <c r="J92" s="234"/>
      <c r="K92" s="234"/>
      <c r="L92" s="234"/>
      <c r="M92" s="234"/>
      <c r="N92" s="234"/>
      <c r="O92" s="234"/>
    </row>
    <row r="93" spans="1:15" ht="14.25" customHeight="1" x14ac:dyDescent="0.35">
      <c r="A93" s="234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</row>
    <row r="94" spans="1:15" ht="14.25" customHeight="1" x14ac:dyDescent="0.35">
      <c r="A94" s="234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</row>
    <row r="95" spans="1:15" ht="14.25" customHeight="1" x14ac:dyDescent="0.35">
      <c r="A95" s="234"/>
      <c r="B95" s="234"/>
      <c r="C95" s="234"/>
      <c r="D95" s="234"/>
      <c r="E95" s="234"/>
      <c r="F95" s="234"/>
      <c r="G95" s="234"/>
      <c r="H95" s="234"/>
      <c r="I95" s="234"/>
      <c r="J95" s="234"/>
      <c r="K95" s="234"/>
      <c r="L95" s="234"/>
      <c r="M95" s="234"/>
      <c r="N95" s="234"/>
      <c r="O95" s="234"/>
    </row>
    <row r="96" spans="1:15" ht="14.25" customHeight="1" x14ac:dyDescent="0.35">
      <c r="A96" s="234"/>
      <c r="B96" s="234"/>
      <c r="C96" s="234"/>
      <c r="D96" s="234"/>
      <c r="E96" s="234"/>
      <c r="F96" s="234"/>
      <c r="G96" s="234"/>
      <c r="H96" s="234"/>
      <c r="I96" s="234"/>
      <c r="J96" s="234"/>
      <c r="K96" s="234"/>
      <c r="L96" s="234"/>
      <c r="M96" s="234"/>
      <c r="N96" s="234"/>
      <c r="O96" s="234"/>
    </row>
    <row r="97" spans="1:15" ht="14.25" customHeight="1" x14ac:dyDescent="0.35">
      <c r="A97" s="234"/>
      <c r="B97" s="234"/>
      <c r="C97" s="234"/>
      <c r="D97" s="234"/>
      <c r="E97" s="234"/>
      <c r="F97" s="234"/>
      <c r="G97" s="234"/>
      <c r="H97" s="234"/>
      <c r="I97" s="234"/>
      <c r="J97" s="234"/>
      <c r="K97" s="234"/>
      <c r="L97" s="234"/>
      <c r="M97" s="234"/>
      <c r="N97" s="234"/>
      <c r="O97" s="234"/>
    </row>
    <row r="98" spans="1:15" ht="14.25" customHeight="1" x14ac:dyDescent="0.35">
      <c r="A98" s="234"/>
      <c r="B98" s="234"/>
      <c r="C98" s="234"/>
      <c r="D98" s="234"/>
      <c r="E98" s="234"/>
      <c r="F98" s="234"/>
      <c r="G98" s="234"/>
      <c r="H98" s="234"/>
      <c r="I98" s="234"/>
      <c r="J98" s="234"/>
      <c r="K98" s="234"/>
      <c r="L98" s="234"/>
      <c r="M98" s="234"/>
      <c r="N98" s="234"/>
      <c r="O98" s="234"/>
    </row>
    <row r="99" spans="1:15" ht="14.25" customHeight="1" x14ac:dyDescent="0.35">
      <c r="A99" s="234"/>
      <c r="B99" s="234"/>
      <c r="C99" s="234"/>
      <c r="D99" s="234"/>
      <c r="E99" s="234"/>
      <c r="F99" s="234"/>
      <c r="G99" s="234"/>
      <c r="H99" s="234"/>
      <c r="I99" s="234"/>
      <c r="J99" s="234"/>
      <c r="K99" s="234"/>
      <c r="L99" s="234"/>
      <c r="M99" s="234"/>
      <c r="N99" s="234"/>
      <c r="O99" s="234"/>
    </row>
    <row r="100" spans="1:15" ht="14.25" customHeight="1" x14ac:dyDescent="0.35">
      <c r="A100" s="234"/>
      <c r="B100" s="234"/>
      <c r="C100" s="234"/>
      <c r="D100" s="234"/>
      <c r="E100" s="234"/>
      <c r="F100" s="234"/>
      <c r="G100" s="234"/>
      <c r="H100" s="234"/>
      <c r="I100" s="234"/>
      <c r="J100" s="234"/>
      <c r="K100" s="234"/>
      <c r="L100" s="234"/>
      <c r="M100" s="234"/>
      <c r="N100" s="234"/>
      <c r="O100" s="234"/>
    </row>
    <row r="101" spans="1:15" ht="14.25" customHeight="1" x14ac:dyDescent="0.35">
      <c r="A101" s="234"/>
      <c r="B101" s="234"/>
      <c r="C101" s="234"/>
      <c r="D101" s="234"/>
      <c r="E101" s="234"/>
      <c r="F101" s="234"/>
      <c r="G101" s="234"/>
      <c r="H101" s="234"/>
      <c r="I101" s="234"/>
      <c r="J101" s="234"/>
      <c r="K101" s="234"/>
      <c r="L101" s="234"/>
      <c r="M101" s="234"/>
      <c r="N101" s="234"/>
      <c r="O101" s="234"/>
    </row>
    <row r="102" spans="1:15" ht="14.25" customHeight="1" x14ac:dyDescent="0.35">
      <c r="A102" s="234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</row>
    <row r="103" spans="1:15" ht="14.25" customHeight="1" x14ac:dyDescent="0.35">
      <c r="A103" s="234"/>
      <c r="B103" s="234"/>
      <c r="C103" s="234"/>
      <c r="D103" s="234"/>
      <c r="E103" s="234"/>
      <c r="F103" s="234"/>
      <c r="G103" s="234"/>
      <c r="H103" s="234"/>
      <c r="I103" s="234"/>
      <c r="J103" s="234"/>
      <c r="K103" s="234"/>
      <c r="L103" s="234"/>
      <c r="M103" s="234"/>
      <c r="N103" s="234"/>
      <c r="O103" s="234"/>
    </row>
    <row r="104" spans="1:15" ht="14.25" customHeight="1" x14ac:dyDescent="0.35">
      <c r="A104" s="234"/>
      <c r="B104" s="234"/>
      <c r="C104" s="234"/>
      <c r="D104" s="234"/>
      <c r="E104" s="234"/>
      <c r="F104" s="234"/>
      <c r="G104" s="234"/>
      <c r="H104" s="234"/>
      <c r="I104" s="234"/>
      <c r="J104" s="234"/>
      <c r="K104" s="234"/>
      <c r="L104" s="234"/>
      <c r="M104" s="234"/>
      <c r="N104" s="234"/>
      <c r="O104" s="234"/>
    </row>
    <row r="105" spans="1:15" ht="14.25" customHeight="1" x14ac:dyDescent="0.35">
      <c r="A105" s="234"/>
      <c r="B105" s="234"/>
      <c r="C105" s="234"/>
      <c r="D105" s="234"/>
      <c r="E105" s="234"/>
      <c r="F105" s="234"/>
      <c r="G105" s="234"/>
      <c r="H105" s="234"/>
      <c r="I105" s="234"/>
      <c r="J105" s="234"/>
      <c r="K105" s="234"/>
      <c r="L105" s="234"/>
      <c r="M105" s="234"/>
      <c r="N105" s="234"/>
      <c r="O105" s="234"/>
    </row>
    <row r="106" spans="1:15" ht="14.25" customHeight="1" x14ac:dyDescent="0.35">
      <c r="A106" s="234"/>
      <c r="B106" s="234"/>
      <c r="C106" s="234"/>
      <c r="D106" s="234"/>
      <c r="E106" s="234"/>
      <c r="F106" s="234"/>
      <c r="G106" s="234"/>
      <c r="H106" s="234"/>
      <c r="I106" s="234"/>
      <c r="J106" s="234"/>
      <c r="K106" s="234"/>
      <c r="L106" s="234"/>
      <c r="M106" s="234"/>
      <c r="N106" s="234"/>
      <c r="O106" s="234"/>
    </row>
    <row r="107" spans="1:15" ht="14.25" customHeight="1" x14ac:dyDescent="0.35">
      <c r="A107" s="234"/>
      <c r="B107" s="234"/>
      <c r="C107" s="234"/>
      <c r="D107" s="234"/>
      <c r="E107" s="234"/>
      <c r="F107" s="234"/>
      <c r="G107" s="234"/>
      <c r="H107" s="234"/>
      <c r="I107" s="234"/>
      <c r="J107" s="234"/>
      <c r="K107" s="234"/>
      <c r="L107" s="234"/>
      <c r="M107" s="234"/>
      <c r="N107" s="234"/>
      <c r="O107" s="234"/>
    </row>
    <row r="108" spans="1:15" ht="14.25" customHeight="1" x14ac:dyDescent="0.35">
      <c r="A108" s="234"/>
      <c r="B108" s="234"/>
      <c r="C108" s="234"/>
      <c r="D108" s="234"/>
      <c r="E108" s="234"/>
      <c r="F108" s="234"/>
      <c r="G108" s="234"/>
      <c r="H108" s="234"/>
      <c r="I108" s="234"/>
      <c r="J108" s="234"/>
      <c r="K108" s="234"/>
      <c r="L108" s="234"/>
      <c r="M108" s="234"/>
      <c r="N108" s="234"/>
      <c r="O108" s="234"/>
    </row>
    <row r="109" spans="1:15" ht="14.25" customHeight="1" x14ac:dyDescent="0.35">
      <c r="A109" s="234"/>
      <c r="B109" s="234"/>
      <c r="C109" s="234"/>
      <c r="D109" s="234"/>
      <c r="E109" s="234"/>
      <c r="F109" s="234"/>
      <c r="G109" s="234"/>
      <c r="H109" s="234"/>
      <c r="I109" s="234"/>
      <c r="J109" s="234"/>
      <c r="K109" s="234"/>
      <c r="L109" s="234"/>
      <c r="M109" s="234"/>
      <c r="N109" s="234"/>
      <c r="O109" s="234"/>
    </row>
    <row r="110" spans="1:15" ht="14.25" customHeight="1" x14ac:dyDescent="0.35">
      <c r="A110" s="234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</row>
    <row r="111" spans="1:15" ht="14.25" customHeight="1" x14ac:dyDescent="0.35">
      <c r="A111" s="234"/>
      <c r="B111" s="234"/>
      <c r="C111" s="234"/>
      <c r="D111" s="234"/>
      <c r="E111" s="234"/>
      <c r="F111" s="234"/>
      <c r="G111" s="234"/>
      <c r="H111" s="234"/>
      <c r="I111" s="234"/>
      <c r="J111" s="234"/>
      <c r="K111" s="234"/>
      <c r="L111" s="234"/>
      <c r="M111" s="234"/>
      <c r="N111" s="234"/>
      <c r="O111" s="234"/>
    </row>
    <row r="112" spans="1:15" ht="14.25" customHeight="1" x14ac:dyDescent="0.35">
      <c r="A112" s="234"/>
      <c r="B112" s="234"/>
      <c r="C112" s="234"/>
      <c r="D112" s="234"/>
      <c r="E112" s="234"/>
      <c r="F112" s="234"/>
      <c r="G112" s="234"/>
      <c r="H112" s="234"/>
      <c r="I112" s="234"/>
      <c r="J112" s="234"/>
      <c r="K112" s="234"/>
      <c r="L112" s="234"/>
      <c r="M112" s="234"/>
      <c r="N112" s="234"/>
      <c r="O112" s="234"/>
    </row>
    <row r="113" spans="1:15" ht="14.25" customHeight="1" x14ac:dyDescent="0.35">
      <c r="A113" s="234"/>
      <c r="B113" s="234"/>
      <c r="C113" s="234"/>
      <c r="D113" s="234"/>
      <c r="E113" s="234"/>
      <c r="F113" s="234"/>
      <c r="G113" s="234"/>
      <c r="H113" s="234"/>
      <c r="I113" s="234"/>
      <c r="J113" s="234"/>
      <c r="K113" s="234"/>
      <c r="L113" s="234"/>
      <c r="M113" s="234"/>
      <c r="N113" s="234"/>
      <c r="O113" s="234"/>
    </row>
    <row r="114" spans="1:15" ht="14.25" customHeight="1" x14ac:dyDescent="0.35">
      <c r="A114" s="234"/>
      <c r="B114" s="234"/>
      <c r="C114" s="234"/>
      <c r="D114" s="234"/>
      <c r="E114" s="234"/>
      <c r="F114" s="234"/>
      <c r="G114" s="234"/>
      <c r="H114" s="234"/>
      <c r="I114" s="234"/>
      <c r="J114" s="234"/>
      <c r="K114" s="234"/>
      <c r="L114" s="234"/>
      <c r="M114" s="234"/>
      <c r="N114" s="234"/>
      <c r="O114" s="234"/>
    </row>
    <row r="115" spans="1:15" ht="14.25" customHeight="1" x14ac:dyDescent="0.35">
      <c r="A115" s="234"/>
      <c r="B115" s="234"/>
      <c r="C115" s="234"/>
      <c r="D115" s="234"/>
      <c r="E115" s="234"/>
      <c r="F115" s="234"/>
      <c r="G115" s="234"/>
      <c r="H115" s="234"/>
      <c r="I115" s="234"/>
      <c r="J115" s="234"/>
      <c r="K115" s="234"/>
      <c r="L115" s="234"/>
      <c r="M115" s="234"/>
      <c r="N115" s="234"/>
      <c r="O115" s="234"/>
    </row>
    <row r="116" spans="1:15" ht="14.25" customHeight="1" x14ac:dyDescent="0.35">
      <c r="A116" s="234"/>
      <c r="B116" s="234"/>
      <c r="C116" s="234"/>
      <c r="D116" s="234"/>
      <c r="E116" s="234"/>
      <c r="F116" s="234"/>
      <c r="G116" s="234"/>
      <c r="H116" s="234"/>
      <c r="I116" s="234"/>
      <c r="J116" s="234"/>
      <c r="K116" s="234"/>
      <c r="L116" s="234"/>
      <c r="M116" s="234"/>
      <c r="N116" s="234"/>
      <c r="O116" s="234"/>
    </row>
    <row r="117" spans="1:15" ht="14.25" customHeight="1" x14ac:dyDescent="0.35">
      <c r="A117" s="234"/>
      <c r="B117" s="234"/>
      <c r="C117" s="234"/>
      <c r="D117" s="234"/>
      <c r="E117" s="234"/>
      <c r="F117" s="234"/>
      <c r="G117" s="234"/>
      <c r="H117" s="234"/>
      <c r="I117" s="234"/>
      <c r="J117" s="234"/>
      <c r="K117" s="234"/>
      <c r="L117" s="234"/>
      <c r="M117" s="234"/>
      <c r="N117" s="234"/>
      <c r="O117" s="234"/>
    </row>
    <row r="118" spans="1:15" ht="14.25" customHeight="1" x14ac:dyDescent="0.35">
      <c r="A118" s="234"/>
      <c r="B118" s="234"/>
      <c r="C118" s="234"/>
      <c r="D118" s="234"/>
      <c r="E118" s="234"/>
      <c r="F118" s="234"/>
      <c r="G118" s="234"/>
      <c r="H118" s="234"/>
      <c r="I118" s="234"/>
      <c r="J118" s="234"/>
      <c r="K118" s="234"/>
      <c r="L118" s="234"/>
      <c r="M118" s="234"/>
      <c r="N118" s="234"/>
      <c r="O118" s="234"/>
    </row>
    <row r="119" spans="1:15" ht="14.25" customHeight="1" x14ac:dyDescent="0.35">
      <c r="A119" s="234"/>
      <c r="B119" s="234"/>
      <c r="C119" s="234"/>
      <c r="D119" s="234"/>
      <c r="E119" s="234"/>
      <c r="F119" s="234"/>
      <c r="G119" s="234"/>
      <c r="H119" s="234"/>
      <c r="I119" s="234"/>
      <c r="J119" s="234"/>
      <c r="K119" s="234"/>
      <c r="L119" s="234"/>
      <c r="M119" s="234"/>
      <c r="N119" s="234"/>
      <c r="O119" s="234"/>
    </row>
    <row r="120" spans="1:15" ht="14.25" customHeight="1" x14ac:dyDescent="0.35">
      <c r="A120" s="234"/>
      <c r="B120" s="234"/>
      <c r="C120" s="234"/>
      <c r="D120" s="234"/>
      <c r="E120" s="234"/>
      <c r="F120" s="234"/>
      <c r="G120" s="234"/>
      <c r="H120" s="234"/>
      <c r="I120" s="234"/>
      <c r="J120" s="234"/>
      <c r="K120" s="234"/>
      <c r="L120" s="234"/>
      <c r="M120" s="234"/>
      <c r="N120" s="234"/>
      <c r="O120" s="234"/>
    </row>
    <row r="121" spans="1:15" ht="14.25" customHeight="1" x14ac:dyDescent="0.35">
      <c r="A121" s="234"/>
      <c r="B121" s="234"/>
      <c r="C121" s="234"/>
      <c r="D121" s="234"/>
      <c r="E121" s="234"/>
      <c r="F121" s="234"/>
      <c r="G121" s="234"/>
      <c r="H121" s="234"/>
      <c r="I121" s="234"/>
      <c r="J121" s="234"/>
      <c r="K121" s="234"/>
      <c r="L121" s="234"/>
      <c r="M121" s="234"/>
      <c r="N121" s="234"/>
      <c r="O121" s="234"/>
    </row>
    <row r="122" spans="1:15" ht="14.25" customHeight="1" x14ac:dyDescent="0.35">
      <c r="A122" s="234"/>
      <c r="B122" s="234"/>
      <c r="C122" s="234"/>
      <c r="D122" s="234"/>
      <c r="E122" s="234"/>
      <c r="F122" s="234"/>
      <c r="G122" s="234"/>
      <c r="H122" s="234"/>
      <c r="I122" s="234"/>
      <c r="J122" s="234"/>
      <c r="K122" s="234"/>
      <c r="L122" s="234"/>
      <c r="M122" s="234"/>
      <c r="N122" s="234"/>
      <c r="O122" s="234"/>
    </row>
    <row r="123" spans="1:15" ht="14.25" customHeight="1" x14ac:dyDescent="0.35">
      <c r="A123" s="234"/>
      <c r="B123" s="234"/>
      <c r="C123" s="234"/>
      <c r="D123" s="234"/>
      <c r="E123" s="234"/>
      <c r="F123" s="234"/>
      <c r="G123" s="234"/>
      <c r="H123" s="234"/>
      <c r="I123" s="234"/>
      <c r="J123" s="234"/>
      <c r="K123" s="234"/>
      <c r="L123" s="234"/>
      <c r="M123" s="234"/>
      <c r="N123" s="234"/>
      <c r="O123" s="234"/>
    </row>
    <row r="124" spans="1:15" ht="14.25" customHeight="1" x14ac:dyDescent="0.35">
      <c r="A124" s="234"/>
      <c r="B124" s="234"/>
      <c r="C124" s="234"/>
      <c r="D124" s="234"/>
      <c r="E124" s="234"/>
      <c r="F124" s="234"/>
      <c r="G124" s="234"/>
      <c r="H124" s="234"/>
      <c r="I124" s="234"/>
      <c r="J124" s="234"/>
      <c r="K124" s="234"/>
      <c r="L124" s="234"/>
      <c r="M124" s="234"/>
      <c r="N124" s="234"/>
      <c r="O124" s="23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🏠 Cover</vt:lpstr>
      <vt:lpstr>📊 Executive Dashboard</vt:lpstr>
      <vt:lpstr>📊 DSCR Compliance</vt:lpstr>
      <vt:lpstr>🔢 Data Engine</vt:lpstr>
      <vt:lpstr>🏢 Property Metrics</vt:lpstr>
      <vt:lpstr>⚙️ NOI Engine</vt:lpstr>
      <vt:lpstr>📡 Forecasting</vt:lpstr>
      <vt:lpstr>💳 Amortization</vt:lpstr>
      <vt:lpstr>🏗️ Capital Plan</vt:lpstr>
      <vt:lpstr>📋 Assumptions</vt:lpstr>
      <vt:lpstr>💵 Operating Cash Flow</vt:lpstr>
      <vt:lpstr>📥 Data Pulls</vt:lpstr>
      <vt:lpstr>🚀 DISPATCH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Jerry Jones</cp:lastModifiedBy>
  <cp:revision>26</cp:revision>
  <dcterms:created xsi:type="dcterms:W3CDTF">2026-04-02T00:53:27Z</dcterms:created>
  <dcterms:modified xsi:type="dcterms:W3CDTF">2026-04-08T19:54:15Z</dcterms:modified>
  <dc:language>en-US</dc:language>
</cp:coreProperties>
</file>